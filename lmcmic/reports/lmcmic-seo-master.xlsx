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ages" sheetId="2" state="visible" r:id="rId4"/>
    <sheet name="Keywords" sheetId="3" state="visible" r:id="rId5"/>
    <sheet name="Content QA" sheetId="4" state="visible" r:id="rId6"/>
    <sheet name="Internal Links" sheetId="5" state="visible" r:id="rId7"/>
    <sheet name="Redirects" sheetId="6" state="visible" r:id="rId8"/>
    <sheet name="Images" sheetId="7" state="visible" r:id="rId9"/>
    <sheet name="External Links" sheetId="8" state="visible" r:id="rId10"/>
    <sheet name="Technical SEO" sheetId="9" state="visible" r:id="rId11"/>
    <sheet name="SEO Checklist" sheetId="10" state="visible" r:id="rId12"/>
  </sheets>
  <definedNames>
    <definedName function="false" hidden="true" localSheetId="3" name="_xlnm._FilterDatabase" vbProcedure="false">'Content QA'!$A$1:$V$91</definedName>
    <definedName function="false" hidden="true" localSheetId="4" name="_xlnm._FilterDatabase" vbProcedure="false">'Internal Links'!$A$1:$D$1310</definedName>
    <definedName function="false" hidden="true" localSheetId="2" name="_xlnm._FilterDatabase" vbProcedure="false">Keywords!$A$1:$T$383</definedName>
    <definedName function="false" hidden="true" localSheetId="1" name="_xlnm._FilterDatabase" vbProcedure="false">Pages!$A$1:$AD$98</definedName>
    <definedName function="false" hidden="true" localSheetId="9" name="_xlnm._FilterDatabase" vbProcedure="false">'SEO Checklist'!$A$1:$G$126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Formula: characters in the title tag. Target 30–65 so Google shows it in full.</t>
        </r>
      </text>
    </comment>
    <comment ref="J1" authorId="0">
      <text>
        <r>
          <rPr>
            <sz val="10"/>
            <rFont val="Arial"/>
            <family val="2"/>
          </rPr>
          <t xml:space="preserve">Formula: characters in the meta description. Target 120–160.</t>
        </r>
      </text>
    </comment>
    <comment ref="V1" authorId="0">
      <text>
        <r>
          <rPr>
            <sz val="10"/>
            <rFont val="Arial"/>
            <family val="2"/>
          </rPr>
          <t xml:space="preserve">How many other pages link to this one from their main content. Navigation, breadcrumbs and footer are excluded; they link every page to the home page and hubs, so the home page shows 0 here.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Formula from the source workbook: (Opportunity × 2) − Competition.</t>
        </r>
      </text>
    </comment>
    <comment ref="O1" authorId="0">
      <text>
        <r>
          <rPr>
            <sz val="10"/>
            <rFont val="Arial"/>
            <family val="2"/>
          </rPr>
          <t xml:space="preserve">Checked at build 2026-10-12: every word of the keyword (3+ letters) appears in the live page's text.</t>
        </r>
      </text>
    </comment>
    <comment ref="P1" authorId="0">
      <text>
        <r>
          <rPr>
            <sz val="10"/>
            <rFont val="Arial"/>
            <family val="2"/>
          </rPr>
          <t xml:space="preserve">YELLOW = you fill in. Paste Canada monthly volume from Google Keyword Planner or Ahrefs.</t>
        </r>
      </text>
    </comment>
    <comment ref="R1" authorId="0">
      <text>
        <r>
          <rPr>
            <sz val="10"/>
            <rFont val="Arial"/>
            <family val="2"/>
          </rPr>
          <t xml:space="preserve">YELLOW = you fill in. From Search Console &gt; Performance, filtered to this query.</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I2" authorId="0">
      <text>
        <r>
          <rPr>
            <sz val="10"/>
            <rFont val="Arial"/>
            <family val="2"/>
          </rPr>
          <t xml:space="preserve">front matter complete</t>
        </r>
      </text>
    </comment>
    <comment ref="I3" authorId="0">
      <text>
        <r>
          <rPr>
            <sz val="10"/>
            <rFont val="Arial"/>
            <family val="2"/>
          </rPr>
          <t xml:space="preserve">front matter complete</t>
        </r>
      </text>
    </comment>
    <comment ref="I4" authorId="0">
      <text>
        <r>
          <rPr>
            <sz val="10"/>
            <rFont val="Arial"/>
            <family val="2"/>
          </rPr>
          <t xml:space="preserve">front matter complete</t>
        </r>
      </text>
    </comment>
    <comment ref="I5" authorId="0">
      <text>
        <r>
          <rPr>
            <sz val="10"/>
            <rFont val="Arial"/>
            <family val="2"/>
          </rPr>
          <t xml:space="preserve">front matter complete</t>
        </r>
      </text>
    </comment>
    <comment ref="I6" authorId="0">
      <text>
        <r>
          <rPr>
            <sz val="10"/>
            <rFont val="Arial"/>
            <family val="2"/>
          </rPr>
          <t xml:space="preserve">front matter complete</t>
        </r>
      </text>
    </comment>
    <comment ref="I7" authorId="0">
      <text>
        <r>
          <rPr>
            <sz val="10"/>
            <rFont val="Arial"/>
            <family val="2"/>
          </rPr>
          <t xml:space="preserve">front matter complete</t>
        </r>
      </text>
    </comment>
    <comment ref="I8" authorId="0">
      <text>
        <r>
          <rPr>
            <sz val="10"/>
            <rFont val="Arial"/>
            <family val="2"/>
          </rPr>
          <t xml:space="preserve">front matter complete</t>
        </r>
      </text>
    </comment>
    <comment ref="I9" authorId="0">
      <text>
        <r>
          <rPr>
            <sz val="10"/>
            <rFont val="Arial"/>
            <family val="2"/>
          </rPr>
          <t xml:space="preserve">front matter complete</t>
        </r>
      </text>
    </comment>
    <comment ref="I10" authorId="0">
      <text>
        <r>
          <rPr>
            <sz val="10"/>
            <rFont val="Arial"/>
            <family val="2"/>
          </rPr>
          <t xml:space="preserve">front matter complete</t>
        </r>
      </text>
    </comment>
    <comment ref="I11" authorId="0">
      <text>
        <r>
          <rPr>
            <sz val="10"/>
            <rFont val="Arial"/>
            <family val="2"/>
          </rPr>
          <t xml:space="preserve">front matter complete</t>
        </r>
      </text>
    </comment>
    <comment ref="I12" authorId="0">
      <text>
        <r>
          <rPr>
            <sz val="10"/>
            <rFont val="Arial"/>
            <family val="2"/>
          </rPr>
          <t xml:space="preserve">front matter complete</t>
        </r>
      </text>
    </comment>
    <comment ref="I13" authorId="0">
      <text>
        <r>
          <rPr>
            <sz val="10"/>
            <rFont val="Arial"/>
            <family val="2"/>
          </rPr>
          <t xml:space="preserve">front matter complete</t>
        </r>
      </text>
    </comment>
    <comment ref="I14" authorId="0">
      <text>
        <r>
          <rPr>
            <sz val="10"/>
            <rFont val="Arial"/>
            <family val="2"/>
          </rPr>
          <t xml:space="preserve">front matter complete</t>
        </r>
      </text>
    </comment>
    <comment ref="I15" authorId="0">
      <text>
        <r>
          <rPr>
            <sz val="10"/>
            <rFont val="Arial"/>
            <family val="2"/>
          </rPr>
          <t xml:space="preserve">front matter complete</t>
        </r>
      </text>
    </comment>
    <comment ref="I16" authorId="0">
      <text>
        <r>
          <rPr>
            <sz val="10"/>
            <rFont val="Arial"/>
            <family val="2"/>
          </rPr>
          <t xml:space="preserve">front matter complete</t>
        </r>
      </text>
    </comment>
    <comment ref="I17" authorId="0">
      <text>
        <r>
          <rPr>
            <sz val="10"/>
            <rFont val="Arial"/>
            <family val="2"/>
          </rPr>
          <t xml:space="preserve">front matter complete</t>
        </r>
      </text>
    </comment>
    <comment ref="I18" authorId="0">
      <text>
        <r>
          <rPr>
            <sz val="10"/>
            <rFont val="Arial"/>
            <family val="2"/>
          </rPr>
          <t xml:space="preserve">front matter complete</t>
        </r>
      </text>
    </comment>
    <comment ref="I19" authorId="0">
      <text>
        <r>
          <rPr>
            <sz val="10"/>
            <rFont val="Arial"/>
            <family val="2"/>
          </rPr>
          <t xml:space="preserve">front matter complete</t>
        </r>
      </text>
    </comment>
    <comment ref="I20" authorId="0">
      <text>
        <r>
          <rPr>
            <sz val="10"/>
            <rFont val="Arial"/>
            <family val="2"/>
          </rPr>
          <t xml:space="preserve">front matter complete</t>
        </r>
      </text>
    </comment>
    <comment ref="I21" authorId="0">
      <text>
        <r>
          <rPr>
            <sz val="10"/>
            <rFont val="Arial"/>
            <family val="2"/>
          </rPr>
          <t xml:space="preserve">front matter complete</t>
        </r>
      </text>
    </comment>
    <comment ref="I22" authorId="0">
      <text>
        <r>
          <rPr>
            <sz val="10"/>
            <rFont val="Arial"/>
            <family val="2"/>
          </rPr>
          <t xml:space="preserve">front matter complete</t>
        </r>
      </text>
    </comment>
    <comment ref="I23" authorId="0">
      <text>
        <r>
          <rPr>
            <sz val="10"/>
            <rFont val="Arial"/>
            <family val="2"/>
          </rPr>
          <t xml:space="preserve">front matter complete</t>
        </r>
      </text>
    </comment>
    <comment ref="I24" authorId="0">
      <text>
        <r>
          <rPr>
            <sz val="10"/>
            <rFont val="Arial"/>
            <family val="2"/>
          </rPr>
          <t xml:space="preserve">front matter complete</t>
        </r>
      </text>
    </comment>
    <comment ref="I25" authorId="0">
      <text>
        <r>
          <rPr>
            <sz val="10"/>
            <rFont val="Arial"/>
            <family val="2"/>
          </rPr>
          <t xml:space="preserve">front matter complete</t>
        </r>
      </text>
    </comment>
    <comment ref="I26" authorId="0">
      <text>
        <r>
          <rPr>
            <sz val="10"/>
            <rFont val="Arial"/>
            <family val="2"/>
          </rPr>
          <t xml:space="preserve">front matter complete</t>
        </r>
      </text>
    </comment>
    <comment ref="I27" authorId="0">
      <text>
        <r>
          <rPr>
            <sz val="10"/>
            <rFont val="Arial"/>
            <family val="2"/>
          </rPr>
          <t xml:space="preserve">front matter complete</t>
        </r>
      </text>
    </comment>
    <comment ref="I28" authorId="0">
      <text>
        <r>
          <rPr>
            <sz val="10"/>
            <rFont val="Arial"/>
            <family val="2"/>
          </rPr>
          <t xml:space="preserve">front matter complete</t>
        </r>
      </text>
    </comment>
    <comment ref="I29" authorId="0">
      <text>
        <r>
          <rPr>
            <sz val="10"/>
            <rFont val="Arial"/>
            <family val="2"/>
          </rPr>
          <t xml:space="preserve">front matter complete</t>
        </r>
      </text>
    </comment>
    <comment ref="I30" authorId="0">
      <text>
        <r>
          <rPr>
            <sz val="10"/>
            <rFont val="Arial"/>
            <family val="2"/>
          </rPr>
          <t xml:space="preserve">front matter complete</t>
        </r>
      </text>
    </comment>
    <comment ref="I31" authorId="0">
      <text>
        <r>
          <rPr>
            <sz val="10"/>
            <rFont val="Arial"/>
            <family val="2"/>
          </rPr>
          <t xml:space="preserve">front matter complete</t>
        </r>
      </text>
    </comment>
    <comment ref="I32" authorId="0">
      <text>
        <r>
          <rPr>
            <sz val="10"/>
            <rFont val="Arial"/>
            <family val="2"/>
          </rPr>
          <t xml:space="preserve">front matter complete</t>
        </r>
      </text>
    </comment>
    <comment ref="I33" authorId="0">
      <text>
        <r>
          <rPr>
            <sz val="10"/>
            <rFont val="Arial"/>
            <family val="2"/>
          </rPr>
          <t xml:space="preserve">front matter complete</t>
        </r>
      </text>
    </comment>
    <comment ref="I34" authorId="0">
      <text>
        <r>
          <rPr>
            <sz val="10"/>
            <rFont val="Arial"/>
            <family val="2"/>
          </rPr>
          <t xml:space="preserve">front matter complete</t>
        </r>
      </text>
    </comment>
    <comment ref="I35" authorId="0">
      <text>
        <r>
          <rPr>
            <sz val="10"/>
            <rFont val="Arial"/>
            <family val="2"/>
          </rPr>
          <t xml:space="preserve">front matter complete</t>
        </r>
      </text>
    </comment>
    <comment ref="I36" authorId="0">
      <text>
        <r>
          <rPr>
            <sz val="10"/>
            <rFont val="Arial"/>
            <family val="2"/>
          </rPr>
          <t xml:space="preserve">front matter complete</t>
        </r>
      </text>
    </comment>
    <comment ref="I37" authorId="0">
      <text>
        <r>
          <rPr>
            <sz val="10"/>
            <rFont val="Arial"/>
            <family val="2"/>
          </rPr>
          <t xml:space="preserve">front matter complete</t>
        </r>
      </text>
    </comment>
    <comment ref="I38" authorId="0">
      <text>
        <r>
          <rPr>
            <sz val="10"/>
            <rFont val="Arial"/>
            <family val="2"/>
          </rPr>
          <t xml:space="preserve">front matter complete</t>
        </r>
      </text>
    </comment>
    <comment ref="I39" authorId="0">
      <text>
        <r>
          <rPr>
            <sz val="10"/>
            <rFont val="Arial"/>
            <family val="2"/>
          </rPr>
          <t xml:space="preserve">front matter complete</t>
        </r>
      </text>
    </comment>
    <comment ref="I40" authorId="0">
      <text>
        <r>
          <rPr>
            <sz val="10"/>
            <rFont val="Arial"/>
            <family val="2"/>
          </rPr>
          <t xml:space="preserve">front matter complete</t>
        </r>
      </text>
    </comment>
    <comment ref="I41" authorId="0">
      <text>
        <r>
          <rPr>
            <sz val="10"/>
            <rFont val="Arial"/>
            <family val="2"/>
          </rPr>
          <t xml:space="preserve">front matter complete</t>
        </r>
      </text>
    </comment>
    <comment ref="I42" authorId="0">
      <text>
        <r>
          <rPr>
            <sz val="10"/>
            <rFont val="Arial"/>
            <family val="2"/>
          </rPr>
          <t xml:space="preserve">front matter complete</t>
        </r>
      </text>
    </comment>
    <comment ref="I43" authorId="0">
      <text>
        <r>
          <rPr>
            <sz val="10"/>
            <rFont val="Arial"/>
            <family val="2"/>
          </rPr>
          <t xml:space="preserve">front matter complete</t>
        </r>
      </text>
    </comment>
    <comment ref="I44" authorId="0">
      <text>
        <r>
          <rPr>
            <sz val="10"/>
            <rFont val="Arial"/>
            <family val="2"/>
          </rPr>
          <t xml:space="preserve">front matter complete</t>
        </r>
      </text>
    </comment>
    <comment ref="I45" authorId="0">
      <text>
        <r>
          <rPr>
            <sz val="10"/>
            <rFont val="Arial"/>
            <family val="2"/>
          </rPr>
          <t xml:space="preserve">front matter complete</t>
        </r>
      </text>
    </comment>
    <comment ref="I46" authorId="0">
      <text>
        <r>
          <rPr>
            <sz val="10"/>
            <rFont val="Arial"/>
            <family val="2"/>
          </rPr>
          <t xml:space="preserve">front matter complete</t>
        </r>
      </text>
    </comment>
    <comment ref="I47" authorId="0">
      <text>
        <r>
          <rPr>
            <sz val="10"/>
            <rFont val="Arial"/>
            <family val="2"/>
          </rPr>
          <t xml:space="preserve">front matter complete</t>
        </r>
      </text>
    </comment>
    <comment ref="I48" authorId="0">
      <text>
        <r>
          <rPr>
            <sz val="10"/>
            <rFont val="Arial"/>
            <family val="2"/>
          </rPr>
          <t xml:space="preserve">front matter complete</t>
        </r>
      </text>
    </comment>
    <comment ref="I49" authorId="0">
      <text>
        <r>
          <rPr>
            <sz val="10"/>
            <rFont val="Arial"/>
            <family val="2"/>
          </rPr>
          <t xml:space="preserve">front matter complete</t>
        </r>
      </text>
    </comment>
    <comment ref="I50" authorId="0">
      <text>
        <r>
          <rPr>
            <sz val="10"/>
            <rFont val="Arial"/>
            <family val="2"/>
          </rPr>
          <t xml:space="preserve">front matter complete</t>
        </r>
      </text>
    </comment>
    <comment ref="I51" authorId="0">
      <text>
        <r>
          <rPr>
            <sz val="10"/>
            <rFont val="Arial"/>
            <family val="2"/>
          </rPr>
          <t xml:space="preserve">front matter complete</t>
        </r>
      </text>
    </comment>
    <comment ref="I52" authorId="0">
      <text>
        <r>
          <rPr>
            <sz val="10"/>
            <rFont val="Arial"/>
            <family val="2"/>
          </rPr>
          <t xml:space="preserve">front matter complete</t>
        </r>
      </text>
    </comment>
    <comment ref="I53" authorId="0">
      <text>
        <r>
          <rPr>
            <sz val="10"/>
            <rFont val="Arial"/>
            <family val="2"/>
          </rPr>
          <t xml:space="preserve">front matter complete</t>
        </r>
      </text>
    </comment>
    <comment ref="I54" authorId="0">
      <text>
        <r>
          <rPr>
            <sz val="10"/>
            <rFont val="Arial"/>
            <family val="2"/>
          </rPr>
          <t xml:space="preserve">front matter complete</t>
        </r>
      </text>
    </comment>
    <comment ref="I55" authorId="0">
      <text>
        <r>
          <rPr>
            <sz val="10"/>
            <rFont val="Arial"/>
            <family val="2"/>
          </rPr>
          <t xml:space="preserve">front matter complete</t>
        </r>
      </text>
    </comment>
    <comment ref="I56" authorId="0">
      <text>
        <r>
          <rPr>
            <sz val="10"/>
            <rFont val="Arial"/>
            <family val="2"/>
          </rPr>
          <t xml:space="preserve">front matter complete</t>
        </r>
      </text>
    </comment>
    <comment ref="I57" authorId="0">
      <text>
        <r>
          <rPr>
            <sz val="10"/>
            <rFont val="Arial"/>
            <family val="2"/>
          </rPr>
          <t xml:space="preserve">front matter complete</t>
        </r>
      </text>
    </comment>
    <comment ref="I58" authorId="0">
      <text>
        <r>
          <rPr>
            <sz val="10"/>
            <rFont val="Arial"/>
            <family val="2"/>
          </rPr>
          <t xml:space="preserve">front matter complete</t>
        </r>
      </text>
    </comment>
    <comment ref="I59" authorId="0">
      <text>
        <r>
          <rPr>
            <sz val="10"/>
            <rFont val="Arial"/>
            <family val="2"/>
          </rPr>
          <t xml:space="preserve">front matter complete</t>
        </r>
      </text>
    </comment>
    <comment ref="I60" authorId="0">
      <text>
        <r>
          <rPr>
            <sz val="10"/>
            <rFont val="Arial"/>
            <family val="2"/>
          </rPr>
          <t xml:space="preserve">front matter complete</t>
        </r>
      </text>
    </comment>
    <comment ref="I61" authorId="0">
      <text>
        <r>
          <rPr>
            <sz val="10"/>
            <rFont val="Arial"/>
            <family val="2"/>
          </rPr>
          <t xml:space="preserve">front matter complete</t>
        </r>
      </text>
    </comment>
    <comment ref="I62" authorId="0">
      <text>
        <r>
          <rPr>
            <sz val="10"/>
            <rFont val="Arial"/>
            <family val="2"/>
          </rPr>
          <t xml:space="preserve">front matter complete</t>
        </r>
      </text>
    </comment>
    <comment ref="I63" authorId="0">
      <text>
        <r>
          <rPr>
            <sz val="10"/>
            <rFont val="Arial"/>
            <family val="2"/>
          </rPr>
          <t xml:space="preserve">front matter complete</t>
        </r>
      </text>
    </comment>
    <comment ref="I64" authorId="0">
      <text>
        <r>
          <rPr>
            <sz val="10"/>
            <rFont val="Arial"/>
            <family val="2"/>
          </rPr>
          <t xml:space="preserve">front matter complete</t>
        </r>
      </text>
    </comment>
    <comment ref="I65" authorId="0">
      <text>
        <r>
          <rPr>
            <sz val="10"/>
            <rFont val="Arial"/>
            <family val="2"/>
          </rPr>
          <t xml:space="preserve">front matter complete</t>
        </r>
      </text>
    </comment>
    <comment ref="I66" authorId="0">
      <text>
        <r>
          <rPr>
            <sz val="10"/>
            <rFont val="Arial"/>
            <family val="2"/>
          </rPr>
          <t xml:space="preserve">front matter complete</t>
        </r>
      </text>
    </comment>
    <comment ref="I67" authorId="0">
      <text>
        <r>
          <rPr>
            <sz val="10"/>
            <rFont val="Arial"/>
            <family val="2"/>
          </rPr>
          <t xml:space="preserve">front matter complete</t>
        </r>
      </text>
    </comment>
    <comment ref="I68" authorId="0">
      <text>
        <r>
          <rPr>
            <sz val="10"/>
            <rFont val="Arial"/>
            <family val="2"/>
          </rPr>
          <t xml:space="preserve">front matter complete</t>
        </r>
      </text>
    </comment>
    <comment ref="I69" authorId="0">
      <text>
        <r>
          <rPr>
            <sz val="10"/>
            <rFont val="Arial"/>
            <family val="2"/>
          </rPr>
          <t xml:space="preserve">front matter complete</t>
        </r>
      </text>
    </comment>
    <comment ref="I70" authorId="0">
      <text>
        <r>
          <rPr>
            <sz val="10"/>
            <rFont val="Arial"/>
            <family val="2"/>
          </rPr>
          <t xml:space="preserve">front matter complete</t>
        </r>
      </text>
    </comment>
    <comment ref="I71" authorId="0">
      <text>
        <r>
          <rPr>
            <sz val="10"/>
            <rFont val="Arial"/>
            <family val="2"/>
          </rPr>
          <t xml:space="preserve">front matter complete</t>
        </r>
      </text>
    </comment>
    <comment ref="I72" authorId="0">
      <text>
        <r>
          <rPr>
            <sz val="10"/>
            <rFont val="Arial"/>
            <family val="2"/>
          </rPr>
          <t xml:space="preserve">front matter complete</t>
        </r>
      </text>
    </comment>
    <comment ref="I73" authorId="0">
      <text>
        <r>
          <rPr>
            <sz val="10"/>
            <rFont val="Arial"/>
            <family val="2"/>
          </rPr>
          <t xml:space="preserve">front matter complete</t>
        </r>
      </text>
    </comment>
    <comment ref="I74" authorId="0">
      <text>
        <r>
          <rPr>
            <sz val="10"/>
            <rFont val="Arial"/>
            <family val="2"/>
          </rPr>
          <t xml:space="preserve">front matter complete</t>
        </r>
      </text>
    </comment>
    <comment ref="I75" authorId="0">
      <text>
        <r>
          <rPr>
            <sz val="10"/>
            <rFont val="Arial"/>
            <family val="2"/>
          </rPr>
          <t xml:space="preserve">front matter complete</t>
        </r>
      </text>
    </comment>
    <comment ref="I76" authorId="0">
      <text>
        <r>
          <rPr>
            <sz val="10"/>
            <rFont val="Arial"/>
            <family val="2"/>
          </rPr>
          <t xml:space="preserve">front matter complete</t>
        </r>
      </text>
    </comment>
    <comment ref="I77" authorId="0">
      <text>
        <r>
          <rPr>
            <sz val="10"/>
            <rFont val="Arial"/>
            <family val="2"/>
          </rPr>
          <t xml:space="preserve">front matter complete</t>
        </r>
      </text>
    </comment>
    <comment ref="I78" authorId="0">
      <text>
        <r>
          <rPr>
            <sz val="10"/>
            <rFont val="Arial"/>
            <family val="2"/>
          </rPr>
          <t xml:space="preserve">front matter complete</t>
        </r>
      </text>
    </comment>
    <comment ref="I79" authorId="0">
      <text>
        <r>
          <rPr>
            <sz val="10"/>
            <rFont val="Arial"/>
            <family val="2"/>
          </rPr>
          <t xml:space="preserve">front matter complete</t>
        </r>
      </text>
    </comment>
    <comment ref="I80" authorId="0">
      <text>
        <r>
          <rPr>
            <sz val="10"/>
            <rFont val="Arial"/>
            <family val="2"/>
          </rPr>
          <t xml:space="preserve">front matter complete</t>
        </r>
      </text>
    </comment>
    <comment ref="I81" authorId="0">
      <text>
        <r>
          <rPr>
            <sz val="10"/>
            <rFont val="Arial"/>
            <family val="2"/>
          </rPr>
          <t xml:space="preserve">front matter complete</t>
        </r>
      </text>
    </comment>
    <comment ref="I82" authorId="0">
      <text>
        <r>
          <rPr>
            <sz val="10"/>
            <rFont val="Arial"/>
            <family val="2"/>
          </rPr>
          <t xml:space="preserve">front matter complete</t>
        </r>
      </text>
    </comment>
    <comment ref="I83" authorId="0">
      <text>
        <r>
          <rPr>
            <sz val="10"/>
            <rFont val="Arial"/>
            <family val="2"/>
          </rPr>
          <t xml:space="preserve">front matter complete</t>
        </r>
      </text>
    </comment>
    <comment ref="I84" authorId="0">
      <text>
        <r>
          <rPr>
            <sz val="10"/>
            <rFont val="Arial"/>
            <family val="2"/>
          </rPr>
          <t xml:space="preserve">front matter complete</t>
        </r>
      </text>
    </comment>
    <comment ref="I85" authorId="0">
      <text>
        <r>
          <rPr>
            <sz val="10"/>
            <rFont val="Arial"/>
            <family val="2"/>
          </rPr>
          <t xml:space="preserve">front matter complete</t>
        </r>
      </text>
    </comment>
    <comment ref="I86" authorId="0">
      <text>
        <r>
          <rPr>
            <sz val="10"/>
            <rFont val="Arial"/>
            <family val="2"/>
          </rPr>
          <t xml:space="preserve">front matter complete</t>
        </r>
      </text>
    </comment>
    <comment ref="I87" authorId="0">
      <text>
        <r>
          <rPr>
            <sz val="10"/>
            <rFont val="Arial"/>
            <family val="2"/>
          </rPr>
          <t xml:space="preserve">front matter complete</t>
        </r>
      </text>
    </comment>
    <comment ref="I88" authorId="0">
      <text>
        <r>
          <rPr>
            <sz val="10"/>
            <rFont val="Arial"/>
            <family val="2"/>
          </rPr>
          <t xml:space="preserve">front matter complete</t>
        </r>
      </text>
    </comment>
    <comment ref="I89" authorId="0">
      <text>
        <r>
          <rPr>
            <sz val="10"/>
            <rFont val="Arial"/>
            <family val="2"/>
          </rPr>
          <t xml:space="preserve">front matter complete</t>
        </r>
      </text>
    </comment>
    <comment ref="I90" authorId="0">
      <text>
        <r>
          <rPr>
            <sz val="10"/>
            <rFont val="Arial"/>
            <family val="2"/>
          </rPr>
          <t xml:space="preserve">front matter complete</t>
        </r>
      </text>
    </comment>
    <comment ref="I91" authorId="0">
      <text>
        <r>
          <rPr>
            <sz val="10"/>
            <rFont val="Arial"/>
            <family val="2"/>
          </rPr>
          <t xml:space="preserve">front matter complete</t>
        </r>
      </text>
    </comment>
    <comment ref="J2" authorId="0">
      <text>
        <r>
          <rPr>
            <sz val="10"/>
            <rFont val="Arial"/>
            <family val="2"/>
          </rPr>
          <t xml:space="preserve">37 chars</t>
        </r>
      </text>
    </comment>
    <comment ref="J3" authorId="0">
      <text>
        <r>
          <rPr>
            <sz val="10"/>
            <rFont val="Arial"/>
            <family val="2"/>
          </rPr>
          <t xml:space="preserve">46 chars</t>
        </r>
      </text>
    </comment>
    <comment ref="J4" authorId="0">
      <text>
        <r>
          <rPr>
            <sz val="10"/>
            <rFont val="Arial"/>
            <family val="2"/>
          </rPr>
          <t xml:space="preserve">37 chars</t>
        </r>
      </text>
    </comment>
    <comment ref="J5" authorId="0">
      <text>
        <r>
          <rPr>
            <sz val="10"/>
            <rFont val="Arial"/>
            <family val="2"/>
          </rPr>
          <t xml:space="preserve">44 chars</t>
        </r>
      </text>
    </comment>
    <comment ref="J6" authorId="0">
      <text>
        <r>
          <rPr>
            <sz val="10"/>
            <rFont val="Arial"/>
            <family val="2"/>
          </rPr>
          <t xml:space="preserve">37 chars</t>
        </r>
      </text>
    </comment>
    <comment ref="J7" authorId="0">
      <text>
        <r>
          <rPr>
            <sz val="10"/>
            <rFont val="Arial"/>
            <family val="2"/>
          </rPr>
          <t xml:space="preserve">42 chars</t>
        </r>
      </text>
    </comment>
    <comment ref="J8" authorId="0">
      <text>
        <r>
          <rPr>
            <sz val="10"/>
            <rFont val="Arial"/>
            <family val="2"/>
          </rPr>
          <t xml:space="preserve">51 chars</t>
        </r>
      </text>
    </comment>
    <comment ref="J9" authorId="0">
      <text>
        <r>
          <rPr>
            <sz val="10"/>
            <rFont val="Arial"/>
            <family val="2"/>
          </rPr>
          <t xml:space="preserve">36 chars</t>
        </r>
      </text>
    </comment>
    <comment ref="J10" authorId="0">
      <text>
        <r>
          <rPr>
            <sz val="10"/>
            <rFont val="Arial"/>
            <family val="2"/>
          </rPr>
          <t xml:space="preserve">43 chars</t>
        </r>
      </text>
    </comment>
    <comment ref="J11" authorId="0">
      <text>
        <r>
          <rPr>
            <sz val="10"/>
            <rFont val="Arial"/>
            <family val="2"/>
          </rPr>
          <t xml:space="preserve">40 chars</t>
        </r>
      </text>
    </comment>
    <comment ref="J12" authorId="0">
      <text>
        <r>
          <rPr>
            <sz val="10"/>
            <rFont val="Arial"/>
            <family val="2"/>
          </rPr>
          <t xml:space="preserve">39 chars</t>
        </r>
      </text>
    </comment>
    <comment ref="J13" authorId="0">
      <text>
        <r>
          <rPr>
            <sz val="10"/>
            <rFont val="Arial"/>
            <family val="2"/>
          </rPr>
          <t xml:space="preserve">54 chars</t>
        </r>
      </text>
    </comment>
    <comment ref="J14" authorId="0">
      <text>
        <r>
          <rPr>
            <sz val="10"/>
            <rFont val="Arial"/>
            <family val="2"/>
          </rPr>
          <t xml:space="preserve">42 chars</t>
        </r>
      </text>
    </comment>
    <comment ref="J15" authorId="0">
      <text>
        <r>
          <rPr>
            <sz val="10"/>
            <rFont val="Arial"/>
            <family val="2"/>
          </rPr>
          <t xml:space="preserve">39 chars</t>
        </r>
      </text>
    </comment>
    <comment ref="J16" authorId="0">
      <text>
        <r>
          <rPr>
            <sz val="10"/>
            <rFont val="Arial"/>
            <family val="2"/>
          </rPr>
          <t xml:space="preserve">48 chars</t>
        </r>
      </text>
    </comment>
    <comment ref="J17" authorId="0">
      <text>
        <r>
          <rPr>
            <sz val="10"/>
            <rFont val="Arial"/>
            <family val="2"/>
          </rPr>
          <t xml:space="preserve">40 chars</t>
        </r>
      </text>
    </comment>
    <comment ref="J18" authorId="0">
      <text>
        <r>
          <rPr>
            <sz val="10"/>
            <rFont val="Arial"/>
            <family val="2"/>
          </rPr>
          <t xml:space="preserve">47 chars</t>
        </r>
      </text>
    </comment>
    <comment ref="J19" authorId="0">
      <text>
        <r>
          <rPr>
            <sz val="10"/>
            <rFont val="Arial"/>
            <family val="2"/>
          </rPr>
          <t xml:space="preserve">39 chars</t>
        </r>
      </text>
    </comment>
    <comment ref="J20" authorId="0">
      <text>
        <r>
          <rPr>
            <sz val="10"/>
            <rFont val="Arial"/>
            <family val="2"/>
          </rPr>
          <t xml:space="preserve">52 chars</t>
        </r>
      </text>
    </comment>
    <comment ref="J21" authorId="0">
      <text>
        <r>
          <rPr>
            <sz val="10"/>
            <rFont val="Arial"/>
            <family val="2"/>
          </rPr>
          <t xml:space="preserve">54 chars</t>
        </r>
      </text>
    </comment>
    <comment ref="J22" authorId="0">
      <text>
        <r>
          <rPr>
            <sz val="10"/>
            <rFont val="Arial"/>
            <family val="2"/>
          </rPr>
          <t xml:space="preserve">54 chars</t>
        </r>
      </text>
    </comment>
    <comment ref="J23" authorId="0">
      <text>
        <r>
          <rPr>
            <sz val="10"/>
            <rFont val="Arial"/>
            <family val="2"/>
          </rPr>
          <t xml:space="preserve">49 chars</t>
        </r>
      </text>
    </comment>
    <comment ref="J24" authorId="0">
      <text>
        <r>
          <rPr>
            <sz val="10"/>
            <rFont val="Arial"/>
            <family val="2"/>
          </rPr>
          <t xml:space="preserve">43 chars</t>
        </r>
      </text>
    </comment>
    <comment ref="J25" authorId="0">
      <text>
        <r>
          <rPr>
            <sz val="10"/>
            <rFont val="Arial"/>
            <family val="2"/>
          </rPr>
          <t xml:space="preserve">49 chars</t>
        </r>
      </text>
    </comment>
    <comment ref="J26" authorId="0">
      <text>
        <r>
          <rPr>
            <sz val="10"/>
            <rFont val="Arial"/>
            <family val="2"/>
          </rPr>
          <t xml:space="preserve">51 chars</t>
        </r>
      </text>
    </comment>
    <comment ref="J27" authorId="0">
      <text>
        <r>
          <rPr>
            <sz val="10"/>
            <rFont val="Arial"/>
            <family val="2"/>
          </rPr>
          <t xml:space="preserve">44 chars</t>
        </r>
      </text>
    </comment>
    <comment ref="J28" authorId="0">
      <text>
        <r>
          <rPr>
            <sz val="10"/>
            <rFont val="Arial"/>
            <family val="2"/>
          </rPr>
          <t xml:space="preserve">56 chars</t>
        </r>
      </text>
    </comment>
    <comment ref="J29" authorId="0">
      <text>
        <r>
          <rPr>
            <sz val="10"/>
            <rFont val="Arial"/>
            <family val="2"/>
          </rPr>
          <t xml:space="preserve">54 chars</t>
        </r>
      </text>
    </comment>
    <comment ref="J30" authorId="0">
      <text>
        <r>
          <rPr>
            <sz val="10"/>
            <rFont val="Arial"/>
            <family val="2"/>
          </rPr>
          <t xml:space="preserve">51 chars</t>
        </r>
      </text>
    </comment>
    <comment ref="J31" authorId="0">
      <text>
        <r>
          <rPr>
            <sz val="10"/>
            <rFont val="Arial"/>
            <family val="2"/>
          </rPr>
          <t xml:space="preserve">49 chars</t>
        </r>
      </text>
    </comment>
    <comment ref="J32" authorId="0">
      <text>
        <r>
          <rPr>
            <sz val="10"/>
            <rFont val="Arial"/>
            <family val="2"/>
          </rPr>
          <t xml:space="preserve">52 chars</t>
        </r>
      </text>
    </comment>
    <comment ref="J33" authorId="0">
      <text>
        <r>
          <rPr>
            <sz val="10"/>
            <rFont val="Arial"/>
            <family val="2"/>
          </rPr>
          <t xml:space="preserve">44 chars</t>
        </r>
      </text>
    </comment>
    <comment ref="J34" authorId="0">
      <text>
        <r>
          <rPr>
            <sz val="10"/>
            <rFont val="Arial"/>
            <family val="2"/>
          </rPr>
          <t xml:space="preserve">47 chars</t>
        </r>
      </text>
    </comment>
    <comment ref="J35" authorId="0">
      <text>
        <r>
          <rPr>
            <sz val="10"/>
            <rFont val="Arial"/>
            <family val="2"/>
          </rPr>
          <t xml:space="preserve">54 chars</t>
        </r>
      </text>
    </comment>
    <comment ref="J36" authorId="0">
      <text>
        <r>
          <rPr>
            <sz val="10"/>
            <rFont val="Arial"/>
            <family val="2"/>
          </rPr>
          <t xml:space="preserve">48 chars</t>
        </r>
      </text>
    </comment>
    <comment ref="J37" authorId="0">
      <text>
        <r>
          <rPr>
            <sz val="10"/>
            <rFont val="Arial"/>
            <family val="2"/>
          </rPr>
          <t xml:space="preserve">52 chars</t>
        </r>
      </text>
    </comment>
    <comment ref="J38" authorId="0">
      <text>
        <r>
          <rPr>
            <sz val="10"/>
            <rFont val="Arial"/>
            <family val="2"/>
          </rPr>
          <t xml:space="preserve">46 chars</t>
        </r>
      </text>
    </comment>
    <comment ref="J39" authorId="0">
      <text>
        <r>
          <rPr>
            <sz val="10"/>
            <rFont val="Arial"/>
            <family val="2"/>
          </rPr>
          <t xml:space="preserve">55 chars</t>
        </r>
      </text>
    </comment>
    <comment ref="J40" authorId="0">
      <text>
        <r>
          <rPr>
            <sz val="10"/>
            <rFont val="Arial"/>
            <family val="2"/>
          </rPr>
          <t xml:space="preserve">44 chars</t>
        </r>
      </text>
    </comment>
    <comment ref="J41" authorId="0">
      <text>
        <r>
          <rPr>
            <sz val="10"/>
            <rFont val="Arial"/>
            <family val="2"/>
          </rPr>
          <t xml:space="preserve">48 chars</t>
        </r>
      </text>
    </comment>
    <comment ref="J42" authorId="0">
      <text>
        <r>
          <rPr>
            <sz val="10"/>
            <rFont val="Arial"/>
            <family val="2"/>
          </rPr>
          <t xml:space="preserve">46 chars</t>
        </r>
      </text>
    </comment>
    <comment ref="J43" authorId="0">
      <text>
        <r>
          <rPr>
            <sz val="10"/>
            <rFont val="Arial"/>
            <family val="2"/>
          </rPr>
          <t xml:space="preserve">35 chars</t>
        </r>
      </text>
    </comment>
    <comment ref="J44" authorId="0">
      <text>
        <r>
          <rPr>
            <sz val="10"/>
            <rFont val="Arial"/>
            <family val="2"/>
          </rPr>
          <t xml:space="preserve">46 chars</t>
        </r>
      </text>
    </comment>
    <comment ref="J45" authorId="0">
      <text>
        <r>
          <rPr>
            <sz val="10"/>
            <rFont val="Arial"/>
            <family val="2"/>
          </rPr>
          <t xml:space="preserve">51 chars</t>
        </r>
      </text>
    </comment>
    <comment ref="J46" authorId="0">
      <text>
        <r>
          <rPr>
            <sz val="10"/>
            <rFont val="Arial"/>
            <family val="2"/>
          </rPr>
          <t xml:space="preserve">41 chars</t>
        </r>
      </text>
    </comment>
    <comment ref="J47" authorId="0">
      <text>
        <r>
          <rPr>
            <sz val="10"/>
            <rFont val="Arial"/>
            <family val="2"/>
          </rPr>
          <t xml:space="preserve">52 chars</t>
        </r>
      </text>
    </comment>
    <comment ref="J48" authorId="0">
      <text>
        <r>
          <rPr>
            <sz val="10"/>
            <rFont val="Arial"/>
            <family val="2"/>
          </rPr>
          <t xml:space="preserve">52 chars</t>
        </r>
      </text>
    </comment>
    <comment ref="J49" authorId="0">
      <text>
        <r>
          <rPr>
            <sz val="10"/>
            <rFont val="Arial"/>
            <family val="2"/>
          </rPr>
          <t xml:space="preserve">43 chars</t>
        </r>
      </text>
    </comment>
    <comment ref="J50" authorId="0">
      <text>
        <r>
          <rPr>
            <sz val="10"/>
            <rFont val="Arial"/>
            <family val="2"/>
          </rPr>
          <t xml:space="preserve">51 chars</t>
        </r>
      </text>
    </comment>
    <comment ref="J51" authorId="0">
      <text>
        <r>
          <rPr>
            <sz val="10"/>
            <rFont val="Arial"/>
            <family val="2"/>
          </rPr>
          <t xml:space="preserve">52 chars</t>
        </r>
      </text>
    </comment>
    <comment ref="J52" authorId="0">
      <text>
        <r>
          <rPr>
            <sz val="10"/>
            <rFont val="Arial"/>
            <family val="2"/>
          </rPr>
          <t xml:space="preserve">44 chars</t>
        </r>
      </text>
    </comment>
    <comment ref="J53" authorId="0">
      <text>
        <r>
          <rPr>
            <sz val="10"/>
            <rFont val="Arial"/>
            <family val="2"/>
          </rPr>
          <t xml:space="preserve">53 chars</t>
        </r>
      </text>
    </comment>
    <comment ref="J54" authorId="0">
      <text>
        <r>
          <rPr>
            <sz val="10"/>
            <rFont val="Arial"/>
            <family val="2"/>
          </rPr>
          <t xml:space="preserve">41 chars</t>
        </r>
      </text>
    </comment>
    <comment ref="J55" authorId="0">
      <text>
        <r>
          <rPr>
            <sz val="10"/>
            <rFont val="Arial"/>
            <family val="2"/>
          </rPr>
          <t xml:space="preserve">46 chars</t>
        </r>
      </text>
    </comment>
    <comment ref="J56" authorId="0">
      <text>
        <r>
          <rPr>
            <sz val="10"/>
            <rFont val="Arial"/>
            <family val="2"/>
          </rPr>
          <t xml:space="preserve">44 chars</t>
        </r>
      </text>
    </comment>
    <comment ref="J57" authorId="0">
      <text>
        <r>
          <rPr>
            <sz val="10"/>
            <rFont val="Arial"/>
            <family val="2"/>
          </rPr>
          <t xml:space="preserve">50 chars</t>
        </r>
      </text>
    </comment>
    <comment ref="J58" authorId="0">
      <text>
        <r>
          <rPr>
            <sz val="10"/>
            <rFont val="Arial"/>
            <family val="2"/>
          </rPr>
          <t xml:space="preserve">53 chars</t>
        </r>
      </text>
    </comment>
    <comment ref="J59" authorId="0">
      <text>
        <r>
          <rPr>
            <sz val="10"/>
            <rFont val="Arial"/>
            <family val="2"/>
          </rPr>
          <t xml:space="preserve">40 chars</t>
        </r>
      </text>
    </comment>
    <comment ref="J60" authorId="0">
      <text>
        <r>
          <rPr>
            <sz val="10"/>
            <rFont val="Arial"/>
            <family val="2"/>
          </rPr>
          <t xml:space="preserve">41 chars</t>
        </r>
      </text>
    </comment>
    <comment ref="J61" authorId="0">
      <text>
        <r>
          <rPr>
            <sz val="10"/>
            <rFont val="Arial"/>
            <family val="2"/>
          </rPr>
          <t xml:space="preserve">47 chars</t>
        </r>
      </text>
    </comment>
    <comment ref="J62" authorId="0">
      <text>
        <r>
          <rPr>
            <sz val="10"/>
            <rFont val="Arial"/>
            <family val="2"/>
          </rPr>
          <t xml:space="preserve">33 chars</t>
        </r>
      </text>
    </comment>
    <comment ref="J63" authorId="0">
      <text>
        <r>
          <rPr>
            <sz val="10"/>
            <rFont val="Arial"/>
            <family val="2"/>
          </rPr>
          <t xml:space="preserve">44 chars</t>
        </r>
      </text>
    </comment>
    <comment ref="J64" authorId="0">
      <text>
        <r>
          <rPr>
            <sz val="10"/>
            <rFont val="Arial"/>
            <family val="2"/>
          </rPr>
          <t xml:space="preserve">42 chars</t>
        </r>
      </text>
    </comment>
    <comment ref="J65" authorId="0">
      <text>
        <r>
          <rPr>
            <sz val="10"/>
            <rFont val="Arial"/>
            <family val="2"/>
          </rPr>
          <t xml:space="preserve">46 chars</t>
        </r>
      </text>
    </comment>
    <comment ref="J66" authorId="0">
      <text>
        <r>
          <rPr>
            <sz val="10"/>
            <rFont val="Arial"/>
            <family val="2"/>
          </rPr>
          <t xml:space="preserve">49 chars</t>
        </r>
      </text>
    </comment>
    <comment ref="J67" authorId="0">
      <text>
        <r>
          <rPr>
            <sz val="10"/>
            <rFont val="Arial"/>
            <family val="2"/>
          </rPr>
          <t xml:space="preserve">53 chars</t>
        </r>
      </text>
    </comment>
    <comment ref="J68" authorId="0">
      <text>
        <r>
          <rPr>
            <sz val="10"/>
            <rFont val="Arial"/>
            <family val="2"/>
          </rPr>
          <t xml:space="preserve">57 chars</t>
        </r>
      </text>
    </comment>
    <comment ref="J69" authorId="0">
      <text>
        <r>
          <rPr>
            <sz val="10"/>
            <rFont val="Arial"/>
            <family val="2"/>
          </rPr>
          <t xml:space="preserve">53 chars</t>
        </r>
      </text>
    </comment>
    <comment ref="J70" authorId="0">
      <text>
        <r>
          <rPr>
            <sz val="10"/>
            <rFont val="Arial"/>
            <family val="2"/>
          </rPr>
          <t xml:space="preserve">43 chars</t>
        </r>
      </text>
    </comment>
    <comment ref="J71" authorId="0">
      <text>
        <r>
          <rPr>
            <sz val="10"/>
            <rFont val="Arial"/>
            <family val="2"/>
          </rPr>
          <t xml:space="preserve">53 chars</t>
        </r>
      </text>
    </comment>
    <comment ref="J72" authorId="0">
      <text>
        <r>
          <rPr>
            <sz val="10"/>
            <rFont val="Arial"/>
            <family val="2"/>
          </rPr>
          <t xml:space="preserve">54 chars</t>
        </r>
      </text>
    </comment>
    <comment ref="J73" authorId="0">
      <text>
        <r>
          <rPr>
            <sz val="10"/>
            <rFont val="Arial"/>
            <family val="2"/>
          </rPr>
          <t xml:space="preserve">43 chars</t>
        </r>
      </text>
    </comment>
    <comment ref="J74" authorId="0">
      <text>
        <r>
          <rPr>
            <sz val="10"/>
            <rFont val="Arial"/>
            <family val="2"/>
          </rPr>
          <t xml:space="preserve">40 chars</t>
        </r>
      </text>
    </comment>
    <comment ref="J75" authorId="0">
      <text>
        <r>
          <rPr>
            <sz val="10"/>
            <rFont val="Arial"/>
            <family val="2"/>
          </rPr>
          <t xml:space="preserve">49 chars</t>
        </r>
      </text>
    </comment>
    <comment ref="J76" authorId="0">
      <text>
        <r>
          <rPr>
            <sz val="10"/>
            <rFont val="Arial"/>
            <family val="2"/>
          </rPr>
          <t xml:space="preserve">58 chars</t>
        </r>
      </text>
    </comment>
    <comment ref="J77" authorId="0">
      <text>
        <r>
          <rPr>
            <sz val="10"/>
            <rFont val="Arial"/>
            <family val="2"/>
          </rPr>
          <t xml:space="preserve">45 chars</t>
        </r>
      </text>
    </comment>
    <comment ref="J78" authorId="0">
      <text>
        <r>
          <rPr>
            <sz val="10"/>
            <rFont val="Arial"/>
            <family val="2"/>
          </rPr>
          <t xml:space="preserve">46 chars</t>
        </r>
      </text>
    </comment>
    <comment ref="J79" authorId="0">
      <text>
        <r>
          <rPr>
            <sz val="10"/>
            <rFont val="Arial"/>
            <family val="2"/>
          </rPr>
          <t xml:space="preserve">50 chars</t>
        </r>
      </text>
    </comment>
    <comment ref="J80" authorId="0">
      <text>
        <r>
          <rPr>
            <sz val="10"/>
            <rFont val="Arial"/>
            <family val="2"/>
          </rPr>
          <t xml:space="preserve">50 chars</t>
        </r>
      </text>
    </comment>
    <comment ref="J81" authorId="0">
      <text>
        <r>
          <rPr>
            <sz val="10"/>
            <rFont val="Arial"/>
            <family val="2"/>
          </rPr>
          <t xml:space="preserve">51 chars</t>
        </r>
      </text>
    </comment>
    <comment ref="J82" authorId="0">
      <text>
        <r>
          <rPr>
            <sz val="10"/>
            <rFont val="Arial"/>
            <family val="2"/>
          </rPr>
          <t xml:space="preserve">44 chars</t>
        </r>
      </text>
    </comment>
    <comment ref="J83" authorId="0">
      <text>
        <r>
          <rPr>
            <sz val="10"/>
            <rFont val="Arial"/>
            <family val="2"/>
          </rPr>
          <t xml:space="preserve">47 chars</t>
        </r>
      </text>
    </comment>
    <comment ref="J84" authorId="0">
      <text>
        <r>
          <rPr>
            <sz val="10"/>
            <rFont val="Arial"/>
            <family val="2"/>
          </rPr>
          <t xml:space="preserve">55 chars</t>
        </r>
      </text>
    </comment>
    <comment ref="J85" authorId="0">
      <text>
        <r>
          <rPr>
            <sz val="10"/>
            <rFont val="Arial"/>
            <family val="2"/>
          </rPr>
          <t xml:space="preserve">54 chars</t>
        </r>
      </text>
    </comment>
    <comment ref="J86" authorId="0">
      <text>
        <r>
          <rPr>
            <sz val="10"/>
            <rFont val="Arial"/>
            <family val="2"/>
          </rPr>
          <t xml:space="preserve">54 chars</t>
        </r>
      </text>
    </comment>
    <comment ref="J87" authorId="0">
      <text>
        <r>
          <rPr>
            <sz val="10"/>
            <rFont val="Arial"/>
            <family val="2"/>
          </rPr>
          <t xml:space="preserve">50 chars</t>
        </r>
      </text>
    </comment>
    <comment ref="J88" authorId="0">
      <text>
        <r>
          <rPr>
            <sz val="10"/>
            <rFont val="Arial"/>
            <family val="2"/>
          </rPr>
          <t xml:space="preserve">52 chars</t>
        </r>
      </text>
    </comment>
    <comment ref="J89" authorId="0">
      <text>
        <r>
          <rPr>
            <sz val="10"/>
            <rFont val="Arial"/>
            <family val="2"/>
          </rPr>
          <t xml:space="preserve">40 chars</t>
        </r>
      </text>
    </comment>
    <comment ref="J90" authorId="0">
      <text>
        <r>
          <rPr>
            <sz val="10"/>
            <rFont val="Arial"/>
            <family val="2"/>
          </rPr>
          <t xml:space="preserve">58 chars</t>
        </r>
      </text>
    </comment>
    <comment ref="J91" authorId="0">
      <text>
        <r>
          <rPr>
            <sz val="10"/>
            <rFont val="Arial"/>
            <family val="2"/>
          </rPr>
          <t xml:space="preserve">53 chars</t>
        </r>
      </text>
    </comment>
    <comment ref="K2" authorId="0">
      <text>
        <r>
          <rPr>
            <sz val="10"/>
            <rFont val="Arial"/>
            <family val="2"/>
          </rPr>
          <t xml:space="preserve">155 chars</t>
        </r>
      </text>
    </comment>
    <comment ref="K3" authorId="0">
      <text>
        <r>
          <rPr>
            <sz val="10"/>
            <rFont val="Arial"/>
            <family val="2"/>
          </rPr>
          <t xml:space="preserve">157 chars</t>
        </r>
      </text>
    </comment>
    <comment ref="K4" authorId="0">
      <text>
        <r>
          <rPr>
            <sz val="10"/>
            <rFont val="Arial"/>
            <family val="2"/>
          </rPr>
          <t xml:space="preserve">154 chars</t>
        </r>
      </text>
    </comment>
    <comment ref="K5" authorId="0">
      <text>
        <r>
          <rPr>
            <sz val="10"/>
            <rFont val="Arial"/>
            <family val="2"/>
          </rPr>
          <t xml:space="preserve">158 chars</t>
        </r>
      </text>
    </comment>
    <comment ref="K6" authorId="0">
      <text>
        <r>
          <rPr>
            <sz val="10"/>
            <rFont val="Arial"/>
            <family val="2"/>
          </rPr>
          <t xml:space="preserve">158 chars</t>
        </r>
      </text>
    </comment>
    <comment ref="K7" authorId="0">
      <text>
        <r>
          <rPr>
            <sz val="10"/>
            <rFont val="Arial"/>
            <family val="2"/>
          </rPr>
          <t xml:space="preserve">157 chars</t>
        </r>
      </text>
    </comment>
    <comment ref="K8" authorId="0">
      <text>
        <r>
          <rPr>
            <sz val="10"/>
            <rFont val="Arial"/>
            <family val="2"/>
          </rPr>
          <t xml:space="preserve">147 chars</t>
        </r>
      </text>
    </comment>
    <comment ref="K9" authorId="0">
      <text>
        <r>
          <rPr>
            <sz val="10"/>
            <rFont val="Arial"/>
            <family val="2"/>
          </rPr>
          <t xml:space="preserve">156 chars</t>
        </r>
      </text>
    </comment>
    <comment ref="K10" authorId="0">
      <text>
        <r>
          <rPr>
            <sz val="10"/>
            <rFont val="Arial"/>
            <family val="2"/>
          </rPr>
          <t xml:space="preserve">150 chars</t>
        </r>
      </text>
    </comment>
    <comment ref="K11" authorId="0">
      <text>
        <r>
          <rPr>
            <sz val="10"/>
            <rFont val="Arial"/>
            <family val="2"/>
          </rPr>
          <t xml:space="preserve">158 chars</t>
        </r>
      </text>
    </comment>
    <comment ref="K12" authorId="0">
      <text>
        <r>
          <rPr>
            <sz val="10"/>
            <rFont val="Arial"/>
            <family val="2"/>
          </rPr>
          <t xml:space="preserve">155 chars</t>
        </r>
      </text>
    </comment>
    <comment ref="K13" authorId="0">
      <text>
        <r>
          <rPr>
            <sz val="10"/>
            <rFont val="Arial"/>
            <family val="2"/>
          </rPr>
          <t xml:space="preserve">156 chars</t>
        </r>
      </text>
    </comment>
    <comment ref="K14" authorId="0">
      <text>
        <r>
          <rPr>
            <sz val="10"/>
            <rFont val="Arial"/>
            <family val="2"/>
          </rPr>
          <t xml:space="preserve">155 chars</t>
        </r>
      </text>
    </comment>
    <comment ref="K15" authorId="0">
      <text>
        <r>
          <rPr>
            <sz val="10"/>
            <rFont val="Arial"/>
            <family val="2"/>
          </rPr>
          <t xml:space="preserve">151 chars</t>
        </r>
      </text>
    </comment>
    <comment ref="K16" authorId="0">
      <text>
        <r>
          <rPr>
            <sz val="10"/>
            <rFont val="Arial"/>
            <family val="2"/>
          </rPr>
          <t xml:space="preserve">157 chars</t>
        </r>
      </text>
    </comment>
    <comment ref="K17" authorId="0">
      <text>
        <r>
          <rPr>
            <sz val="10"/>
            <rFont val="Arial"/>
            <family val="2"/>
          </rPr>
          <t xml:space="preserve">155 chars</t>
        </r>
      </text>
    </comment>
    <comment ref="K18" authorId="0">
      <text>
        <r>
          <rPr>
            <sz val="10"/>
            <rFont val="Arial"/>
            <family val="2"/>
          </rPr>
          <t xml:space="preserve">156 chars</t>
        </r>
      </text>
    </comment>
    <comment ref="K19" authorId="0">
      <text>
        <r>
          <rPr>
            <sz val="10"/>
            <rFont val="Arial"/>
            <family val="2"/>
          </rPr>
          <t xml:space="preserve">155 chars</t>
        </r>
      </text>
    </comment>
    <comment ref="K20" authorId="0">
      <text>
        <r>
          <rPr>
            <sz val="10"/>
            <rFont val="Arial"/>
            <family val="2"/>
          </rPr>
          <t xml:space="preserve">156 chars</t>
        </r>
      </text>
    </comment>
    <comment ref="K21" authorId="0">
      <text>
        <r>
          <rPr>
            <sz val="10"/>
            <rFont val="Arial"/>
            <family val="2"/>
          </rPr>
          <t xml:space="preserve">158 chars</t>
        </r>
      </text>
    </comment>
    <comment ref="K22" authorId="0">
      <text>
        <r>
          <rPr>
            <sz val="10"/>
            <rFont val="Arial"/>
            <family val="2"/>
          </rPr>
          <t xml:space="preserve">156 chars</t>
        </r>
      </text>
    </comment>
    <comment ref="K23" authorId="0">
      <text>
        <r>
          <rPr>
            <sz val="10"/>
            <rFont val="Arial"/>
            <family val="2"/>
          </rPr>
          <t xml:space="preserve">153 chars</t>
        </r>
      </text>
    </comment>
    <comment ref="K24" authorId="0">
      <text>
        <r>
          <rPr>
            <sz val="10"/>
            <rFont val="Arial"/>
            <family val="2"/>
          </rPr>
          <t xml:space="preserve">153 chars</t>
        </r>
      </text>
    </comment>
    <comment ref="K25" authorId="0">
      <text>
        <r>
          <rPr>
            <sz val="10"/>
            <rFont val="Arial"/>
            <family val="2"/>
          </rPr>
          <t xml:space="preserve">152 chars</t>
        </r>
      </text>
    </comment>
    <comment ref="K26" authorId="0">
      <text>
        <r>
          <rPr>
            <sz val="10"/>
            <rFont val="Arial"/>
            <family val="2"/>
          </rPr>
          <t xml:space="preserve">151 chars</t>
        </r>
      </text>
    </comment>
    <comment ref="K27" authorId="0">
      <text>
        <r>
          <rPr>
            <sz val="10"/>
            <rFont val="Arial"/>
            <family val="2"/>
          </rPr>
          <t xml:space="preserve">157 chars</t>
        </r>
      </text>
    </comment>
    <comment ref="K28" authorId="0">
      <text>
        <r>
          <rPr>
            <sz val="10"/>
            <rFont val="Arial"/>
            <family val="2"/>
          </rPr>
          <t xml:space="preserve">158 chars</t>
        </r>
      </text>
    </comment>
    <comment ref="K29" authorId="0">
      <text>
        <r>
          <rPr>
            <sz val="10"/>
            <rFont val="Arial"/>
            <family val="2"/>
          </rPr>
          <t xml:space="preserve">153 chars</t>
        </r>
      </text>
    </comment>
    <comment ref="K30" authorId="0">
      <text>
        <r>
          <rPr>
            <sz val="10"/>
            <rFont val="Arial"/>
            <family val="2"/>
          </rPr>
          <t xml:space="preserve">149 chars</t>
        </r>
      </text>
    </comment>
    <comment ref="K31" authorId="0">
      <text>
        <r>
          <rPr>
            <sz val="10"/>
            <rFont val="Arial"/>
            <family val="2"/>
          </rPr>
          <t xml:space="preserve">153 chars</t>
        </r>
      </text>
    </comment>
    <comment ref="K32" authorId="0">
      <text>
        <r>
          <rPr>
            <sz val="10"/>
            <rFont val="Arial"/>
            <family val="2"/>
          </rPr>
          <t xml:space="preserve">153 chars</t>
        </r>
      </text>
    </comment>
    <comment ref="K33" authorId="0">
      <text>
        <r>
          <rPr>
            <sz val="10"/>
            <rFont val="Arial"/>
            <family val="2"/>
          </rPr>
          <t xml:space="preserve">150 chars</t>
        </r>
      </text>
    </comment>
    <comment ref="K34" authorId="0">
      <text>
        <r>
          <rPr>
            <sz val="10"/>
            <rFont val="Arial"/>
            <family val="2"/>
          </rPr>
          <t xml:space="preserve">148 chars</t>
        </r>
      </text>
    </comment>
    <comment ref="K35" authorId="0">
      <text>
        <r>
          <rPr>
            <sz val="10"/>
            <rFont val="Arial"/>
            <family val="2"/>
          </rPr>
          <t xml:space="preserve">152 chars</t>
        </r>
      </text>
    </comment>
    <comment ref="K36" authorId="0">
      <text>
        <r>
          <rPr>
            <sz val="10"/>
            <rFont val="Arial"/>
            <family val="2"/>
          </rPr>
          <t xml:space="preserve">156 chars</t>
        </r>
      </text>
    </comment>
    <comment ref="K37" authorId="0">
      <text>
        <r>
          <rPr>
            <sz val="10"/>
            <rFont val="Arial"/>
            <family val="2"/>
          </rPr>
          <t xml:space="preserve">154 chars</t>
        </r>
      </text>
    </comment>
    <comment ref="K38" authorId="0">
      <text>
        <r>
          <rPr>
            <sz val="10"/>
            <rFont val="Arial"/>
            <family val="2"/>
          </rPr>
          <t xml:space="preserve">153 chars</t>
        </r>
      </text>
    </comment>
    <comment ref="K39" authorId="0">
      <text>
        <r>
          <rPr>
            <sz val="10"/>
            <rFont val="Arial"/>
            <family val="2"/>
          </rPr>
          <t xml:space="preserve">156 chars</t>
        </r>
      </text>
    </comment>
    <comment ref="K40" authorId="0">
      <text>
        <r>
          <rPr>
            <sz val="10"/>
            <rFont val="Arial"/>
            <family val="2"/>
          </rPr>
          <t xml:space="preserve">158 chars</t>
        </r>
      </text>
    </comment>
    <comment ref="K41" authorId="0">
      <text>
        <r>
          <rPr>
            <sz val="10"/>
            <rFont val="Arial"/>
            <family val="2"/>
          </rPr>
          <t xml:space="preserve">153 chars</t>
        </r>
      </text>
    </comment>
    <comment ref="K42" authorId="0">
      <text>
        <r>
          <rPr>
            <sz val="10"/>
            <rFont val="Arial"/>
            <family val="2"/>
          </rPr>
          <t xml:space="preserve">149 chars</t>
        </r>
      </text>
    </comment>
    <comment ref="K43" authorId="0">
      <text>
        <r>
          <rPr>
            <sz val="10"/>
            <rFont val="Arial"/>
            <family val="2"/>
          </rPr>
          <t xml:space="preserve">156 chars</t>
        </r>
      </text>
    </comment>
    <comment ref="K44" authorId="0">
      <text>
        <r>
          <rPr>
            <sz val="10"/>
            <rFont val="Arial"/>
            <family val="2"/>
          </rPr>
          <t xml:space="preserve">157 chars</t>
        </r>
      </text>
    </comment>
    <comment ref="K45" authorId="0">
      <text>
        <r>
          <rPr>
            <sz val="10"/>
            <rFont val="Arial"/>
            <family val="2"/>
          </rPr>
          <t xml:space="preserve">157 chars</t>
        </r>
      </text>
    </comment>
    <comment ref="K46" authorId="0">
      <text>
        <r>
          <rPr>
            <sz val="10"/>
            <rFont val="Arial"/>
            <family val="2"/>
          </rPr>
          <t xml:space="preserve">155 chars</t>
        </r>
      </text>
    </comment>
    <comment ref="K47" authorId="0">
      <text>
        <r>
          <rPr>
            <sz val="10"/>
            <rFont val="Arial"/>
            <family val="2"/>
          </rPr>
          <t xml:space="preserve">153 chars</t>
        </r>
      </text>
    </comment>
    <comment ref="K48" authorId="0">
      <text>
        <r>
          <rPr>
            <sz val="10"/>
            <rFont val="Arial"/>
            <family val="2"/>
          </rPr>
          <t xml:space="preserve">152 chars</t>
        </r>
      </text>
    </comment>
    <comment ref="K49" authorId="0">
      <text>
        <r>
          <rPr>
            <sz val="10"/>
            <rFont val="Arial"/>
            <family val="2"/>
          </rPr>
          <t xml:space="preserve">156 chars</t>
        </r>
      </text>
    </comment>
    <comment ref="K50" authorId="0">
      <text>
        <r>
          <rPr>
            <sz val="10"/>
            <rFont val="Arial"/>
            <family val="2"/>
          </rPr>
          <t xml:space="preserve">149 chars</t>
        </r>
      </text>
    </comment>
    <comment ref="K51" authorId="0">
      <text>
        <r>
          <rPr>
            <sz val="10"/>
            <rFont val="Arial"/>
            <family val="2"/>
          </rPr>
          <t xml:space="preserve">151 chars</t>
        </r>
      </text>
    </comment>
    <comment ref="K52" authorId="0">
      <text>
        <r>
          <rPr>
            <sz val="10"/>
            <rFont val="Arial"/>
            <family val="2"/>
          </rPr>
          <t xml:space="preserve">151 chars</t>
        </r>
      </text>
    </comment>
    <comment ref="K53" authorId="0">
      <text>
        <r>
          <rPr>
            <sz val="10"/>
            <rFont val="Arial"/>
            <family val="2"/>
          </rPr>
          <t xml:space="preserve">153 chars</t>
        </r>
      </text>
    </comment>
    <comment ref="K54" authorId="0">
      <text>
        <r>
          <rPr>
            <sz val="10"/>
            <rFont val="Arial"/>
            <family val="2"/>
          </rPr>
          <t xml:space="preserve">156 chars</t>
        </r>
      </text>
    </comment>
    <comment ref="K55" authorId="0">
      <text>
        <r>
          <rPr>
            <sz val="10"/>
            <rFont val="Arial"/>
            <family val="2"/>
          </rPr>
          <t xml:space="preserve">152 chars</t>
        </r>
      </text>
    </comment>
    <comment ref="K56" authorId="0">
      <text>
        <r>
          <rPr>
            <sz val="10"/>
            <rFont val="Arial"/>
            <family val="2"/>
          </rPr>
          <t xml:space="preserve">156 chars</t>
        </r>
      </text>
    </comment>
    <comment ref="K57" authorId="0">
      <text>
        <r>
          <rPr>
            <sz val="10"/>
            <rFont val="Arial"/>
            <family val="2"/>
          </rPr>
          <t xml:space="preserve">157 chars</t>
        </r>
      </text>
    </comment>
    <comment ref="K58" authorId="0">
      <text>
        <r>
          <rPr>
            <sz val="10"/>
            <rFont val="Arial"/>
            <family val="2"/>
          </rPr>
          <t xml:space="preserve">157 chars</t>
        </r>
      </text>
    </comment>
    <comment ref="K59" authorId="0">
      <text>
        <r>
          <rPr>
            <sz val="10"/>
            <rFont val="Arial"/>
            <family val="2"/>
          </rPr>
          <t xml:space="preserve">149 chars</t>
        </r>
      </text>
    </comment>
    <comment ref="K60" authorId="0">
      <text>
        <r>
          <rPr>
            <sz val="10"/>
            <rFont val="Arial"/>
            <family val="2"/>
          </rPr>
          <t xml:space="preserve">156 chars</t>
        </r>
      </text>
    </comment>
    <comment ref="K61" authorId="0">
      <text>
        <r>
          <rPr>
            <sz val="10"/>
            <rFont val="Arial"/>
            <family val="2"/>
          </rPr>
          <t xml:space="preserve">154 chars</t>
        </r>
      </text>
    </comment>
    <comment ref="K62" authorId="0">
      <text>
        <r>
          <rPr>
            <sz val="10"/>
            <rFont val="Arial"/>
            <family val="2"/>
          </rPr>
          <t xml:space="preserve">158 chars</t>
        </r>
      </text>
    </comment>
    <comment ref="K63" authorId="0">
      <text>
        <r>
          <rPr>
            <sz val="10"/>
            <rFont val="Arial"/>
            <family val="2"/>
          </rPr>
          <t xml:space="preserve">158 chars</t>
        </r>
      </text>
    </comment>
    <comment ref="K64" authorId="0">
      <text>
        <r>
          <rPr>
            <sz val="10"/>
            <rFont val="Arial"/>
            <family val="2"/>
          </rPr>
          <t xml:space="preserve">153 chars</t>
        </r>
      </text>
    </comment>
    <comment ref="K65" authorId="0">
      <text>
        <r>
          <rPr>
            <sz val="10"/>
            <rFont val="Arial"/>
            <family val="2"/>
          </rPr>
          <t xml:space="preserve">157 chars</t>
        </r>
      </text>
    </comment>
    <comment ref="K66" authorId="0">
      <text>
        <r>
          <rPr>
            <sz val="10"/>
            <rFont val="Arial"/>
            <family val="2"/>
          </rPr>
          <t xml:space="preserve">150 chars</t>
        </r>
      </text>
    </comment>
    <comment ref="K67" authorId="0">
      <text>
        <r>
          <rPr>
            <sz val="10"/>
            <rFont val="Arial"/>
            <family val="2"/>
          </rPr>
          <t xml:space="preserve">158 chars</t>
        </r>
      </text>
    </comment>
    <comment ref="K68" authorId="0">
      <text>
        <r>
          <rPr>
            <sz val="10"/>
            <rFont val="Arial"/>
            <family val="2"/>
          </rPr>
          <t xml:space="preserve">151 chars</t>
        </r>
      </text>
    </comment>
    <comment ref="K69" authorId="0">
      <text>
        <r>
          <rPr>
            <sz val="10"/>
            <rFont val="Arial"/>
            <family val="2"/>
          </rPr>
          <t xml:space="preserve">157 chars</t>
        </r>
      </text>
    </comment>
    <comment ref="K70" authorId="0">
      <text>
        <r>
          <rPr>
            <sz val="10"/>
            <rFont val="Arial"/>
            <family val="2"/>
          </rPr>
          <t xml:space="preserve">155 chars</t>
        </r>
      </text>
    </comment>
    <comment ref="K71" authorId="0">
      <text>
        <r>
          <rPr>
            <sz val="10"/>
            <rFont val="Arial"/>
            <family val="2"/>
          </rPr>
          <t xml:space="preserve">151 chars</t>
        </r>
      </text>
    </comment>
    <comment ref="K72" authorId="0">
      <text>
        <r>
          <rPr>
            <sz val="10"/>
            <rFont val="Arial"/>
            <family val="2"/>
          </rPr>
          <t xml:space="preserve">157 chars</t>
        </r>
      </text>
    </comment>
    <comment ref="K73" authorId="0">
      <text>
        <r>
          <rPr>
            <sz val="10"/>
            <rFont val="Arial"/>
            <family val="2"/>
          </rPr>
          <t xml:space="preserve">158 chars</t>
        </r>
      </text>
    </comment>
    <comment ref="K74" authorId="0">
      <text>
        <r>
          <rPr>
            <sz val="10"/>
            <rFont val="Arial"/>
            <family val="2"/>
          </rPr>
          <t xml:space="preserve">156 chars</t>
        </r>
      </text>
    </comment>
    <comment ref="K75" authorId="0">
      <text>
        <r>
          <rPr>
            <sz val="10"/>
            <rFont val="Arial"/>
            <family val="2"/>
          </rPr>
          <t xml:space="preserve">153 chars</t>
        </r>
      </text>
    </comment>
    <comment ref="K76" authorId="0">
      <text>
        <r>
          <rPr>
            <sz val="10"/>
            <rFont val="Arial"/>
            <family val="2"/>
          </rPr>
          <t xml:space="preserve">157 chars</t>
        </r>
      </text>
    </comment>
    <comment ref="K77" authorId="0">
      <text>
        <r>
          <rPr>
            <sz val="10"/>
            <rFont val="Arial"/>
            <family val="2"/>
          </rPr>
          <t xml:space="preserve">153 chars</t>
        </r>
      </text>
    </comment>
    <comment ref="K78" authorId="0">
      <text>
        <r>
          <rPr>
            <sz val="10"/>
            <rFont val="Arial"/>
            <family val="2"/>
          </rPr>
          <t xml:space="preserve">149 chars</t>
        </r>
      </text>
    </comment>
    <comment ref="K79" authorId="0">
      <text>
        <r>
          <rPr>
            <sz val="10"/>
            <rFont val="Arial"/>
            <family val="2"/>
          </rPr>
          <t xml:space="preserve">155 chars</t>
        </r>
      </text>
    </comment>
    <comment ref="K80" authorId="0">
      <text>
        <r>
          <rPr>
            <sz val="10"/>
            <rFont val="Arial"/>
            <family val="2"/>
          </rPr>
          <t xml:space="preserve">149 chars</t>
        </r>
      </text>
    </comment>
    <comment ref="K81" authorId="0">
      <text>
        <r>
          <rPr>
            <sz val="10"/>
            <rFont val="Arial"/>
            <family val="2"/>
          </rPr>
          <t xml:space="preserve">153 chars</t>
        </r>
      </text>
    </comment>
    <comment ref="K82" authorId="0">
      <text>
        <r>
          <rPr>
            <sz val="10"/>
            <rFont val="Arial"/>
            <family val="2"/>
          </rPr>
          <t xml:space="preserve">157 chars</t>
        </r>
      </text>
    </comment>
    <comment ref="K83" authorId="0">
      <text>
        <r>
          <rPr>
            <sz val="10"/>
            <rFont val="Arial"/>
            <family val="2"/>
          </rPr>
          <t xml:space="preserve">150 chars</t>
        </r>
      </text>
    </comment>
    <comment ref="K84" authorId="0">
      <text>
        <r>
          <rPr>
            <sz val="10"/>
            <rFont val="Arial"/>
            <family val="2"/>
          </rPr>
          <t xml:space="preserve">149 chars</t>
        </r>
      </text>
    </comment>
    <comment ref="K85" authorId="0">
      <text>
        <r>
          <rPr>
            <sz val="10"/>
            <rFont val="Arial"/>
            <family val="2"/>
          </rPr>
          <t xml:space="preserve">152 chars</t>
        </r>
      </text>
    </comment>
    <comment ref="K86" authorId="0">
      <text>
        <r>
          <rPr>
            <sz val="10"/>
            <rFont val="Arial"/>
            <family val="2"/>
          </rPr>
          <t xml:space="preserve">158 chars</t>
        </r>
      </text>
    </comment>
    <comment ref="K87" authorId="0">
      <text>
        <r>
          <rPr>
            <sz val="10"/>
            <rFont val="Arial"/>
            <family val="2"/>
          </rPr>
          <t xml:space="preserve">154 chars</t>
        </r>
      </text>
    </comment>
    <comment ref="K88" authorId="0">
      <text>
        <r>
          <rPr>
            <sz val="10"/>
            <rFont val="Arial"/>
            <family val="2"/>
          </rPr>
          <t xml:space="preserve">146 chars</t>
        </r>
      </text>
    </comment>
    <comment ref="K89" authorId="0">
      <text>
        <r>
          <rPr>
            <sz val="10"/>
            <rFont val="Arial"/>
            <family val="2"/>
          </rPr>
          <t xml:space="preserve">153 chars</t>
        </r>
      </text>
    </comment>
    <comment ref="K90" authorId="0">
      <text>
        <r>
          <rPr>
            <sz val="10"/>
            <rFont val="Arial"/>
            <family val="2"/>
          </rPr>
          <t xml:space="preserve">153 chars</t>
        </r>
      </text>
    </comment>
    <comment ref="K91" authorId="0">
      <text>
        <r>
          <rPr>
            <sz val="10"/>
            <rFont val="Arial"/>
            <family val="2"/>
          </rPr>
          <t xml:space="preserve">148 chars</t>
        </r>
      </text>
    </comment>
    <comment ref="L2" authorId="0">
      <text>
        <r>
          <rPr>
            <sz val="10"/>
            <rFont val="Arial"/>
            <family val="2"/>
          </rPr>
          <t xml:space="preserve">answer box 80 words</t>
        </r>
      </text>
    </comment>
    <comment ref="L3" authorId="0">
      <text>
        <r>
          <rPr>
            <sz val="10"/>
            <rFont val="Arial"/>
            <family val="2"/>
          </rPr>
          <t xml:space="preserve">answer box 87 words</t>
        </r>
      </text>
    </comment>
    <comment ref="L4" authorId="0">
      <text>
        <r>
          <rPr>
            <sz val="10"/>
            <rFont val="Arial"/>
            <family val="2"/>
          </rPr>
          <t xml:space="preserve">answer box 77 words</t>
        </r>
      </text>
    </comment>
    <comment ref="L5" authorId="0">
      <text>
        <r>
          <rPr>
            <sz val="10"/>
            <rFont val="Arial"/>
            <family val="2"/>
          </rPr>
          <t xml:space="preserve">answer box 80 words</t>
        </r>
      </text>
    </comment>
    <comment ref="L6" authorId="0">
      <text>
        <r>
          <rPr>
            <sz val="10"/>
            <rFont val="Arial"/>
            <family val="2"/>
          </rPr>
          <t xml:space="preserve">answer box 86 words</t>
        </r>
      </text>
    </comment>
    <comment ref="L7" authorId="0">
      <text>
        <r>
          <rPr>
            <sz val="10"/>
            <rFont val="Arial"/>
            <family val="2"/>
          </rPr>
          <t xml:space="preserve">answer box 82 words</t>
        </r>
      </text>
    </comment>
    <comment ref="L8" authorId="0">
      <text>
        <r>
          <rPr>
            <sz val="10"/>
            <rFont val="Arial"/>
            <family val="2"/>
          </rPr>
          <t xml:space="preserve">answer box 78 words</t>
        </r>
      </text>
    </comment>
    <comment ref="L9" authorId="0">
      <text>
        <r>
          <rPr>
            <sz val="10"/>
            <rFont val="Arial"/>
            <family val="2"/>
          </rPr>
          <t xml:space="preserve">answer box 83 words</t>
        </r>
      </text>
    </comment>
    <comment ref="L10" authorId="0">
      <text>
        <r>
          <rPr>
            <sz val="10"/>
            <rFont val="Arial"/>
            <family val="2"/>
          </rPr>
          <t xml:space="preserve">answer box 86 words</t>
        </r>
      </text>
    </comment>
    <comment ref="L11" authorId="0">
      <text>
        <r>
          <rPr>
            <sz val="10"/>
            <rFont val="Arial"/>
            <family val="2"/>
          </rPr>
          <t xml:space="preserve">answer box 80 words</t>
        </r>
      </text>
    </comment>
    <comment ref="L12" authorId="0">
      <text>
        <r>
          <rPr>
            <sz val="10"/>
            <rFont val="Arial"/>
            <family val="2"/>
          </rPr>
          <t xml:space="preserve">answer box 77 words</t>
        </r>
      </text>
    </comment>
    <comment ref="L13" authorId="0">
      <text>
        <r>
          <rPr>
            <sz val="10"/>
            <rFont val="Arial"/>
            <family val="2"/>
          </rPr>
          <t xml:space="preserve">answer box 84 words</t>
        </r>
      </text>
    </comment>
    <comment ref="L14" authorId="0">
      <text>
        <r>
          <rPr>
            <sz val="10"/>
            <rFont val="Arial"/>
            <family val="2"/>
          </rPr>
          <t xml:space="preserve">answer box 77 words</t>
        </r>
      </text>
    </comment>
    <comment ref="L15" authorId="0">
      <text>
        <r>
          <rPr>
            <sz val="10"/>
            <rFont val="Arial"/>
            <family val="2"/>
          </rPr>
          <t xml:space="preserve">answer box 90 words</t>
        </r>
      </text>
    </comment>
    <comment ref="L16" authorId="0">
      <text>
        <r>
          <rPr>
            <sz val="10"/>
            <rFont val="Arial"/>
            <family val="2"/>
          </rPr>
          <t xml:space="preserve">answer box 85 words</t>
        </r>
      </text>
    </comment>
    <comment ref="L17" authorId="0">
      <text>
        <r>
          <rPr>
            <sz val="10"/>
            <rFont val="Arial"/>
            <family val="2"/>
          </rPr>
          <t xml:space="preserve">answer box 86 words</t>
        </r>
      </text>
    </comment>
    <comment ref="L18" authorId="0">
      <text>
        <r>
          <rPr>
            <sz val="10"/>
            <rFont val="Arial"/>
            <family val="2"/>
          </rPr>
          <t xml:space="preserve">answer box 83 words</t>
        </r>
      </text>
    </comment>
    <comment ref="L19" authorId="0">
      <text>
        <r>
          <rPr>
            <sz val="10"/>
            <rFont val="Arial"/>
            <family val="2"/>
          </rPr>
          <t xml:space="preserve">answer box 87 words</t>
        </r>
      </text>
    </comment>
    <comment ref="L20" authorId="0">
      <text>
        <r>
          <rPr>
            <sz val="10"/>
            <rFont val="Arial"/>
            <family val="2"/>
          </rPr>
          <t xml:space="preserve">answer box 80 words</t>
        </r>
      </text>
    </comment>
    <comment ref="L21" authorId="0">
      <text>
        <r>
          <rPr>
            <sz val="10"/>
            <rFont val="Arial"/>
            <family val="2"/>
          </rPr>
          <t xml:space="preserve">answer box 78 words</t>
        </r>
      </text>
    </comment>
    <comment ref="L22" authorId="0">
      <text>
        <r>
          <rPr>
            <sz val="10"/>
            <rFont val="Arial"/>
            <family val="2"/>
          </rPr>
          <t xml:space="preserve">answer box 80 words</t>
        </r>
      </text>
    </comment>
    <comment ref="L23" authorId="0">
      <text>
        <r>
          <rPr>
            <sz val="10"/>
            <rFont val="Arial"/>
            <family val="2"/>
          </rPr>
          <t xml:space="preserve">answer box 83 words</t>
        </r>
      </text>
    </comment>
    <comment ref="L24" authorId="0">
      <text>
        <r>
          <rPr>
            <sz val="10"/>
            <rFont val="Arial"/>
            <family val="2"/>
          </rPr>
          <t xml:space="preserve">answer box 84 words</t>
        </r>
      </text>
    </comment>
    <comment ref="L25" authorId="0">
      <text>
        <r>
          <rPr>
            <sz val="10"/>
            <rFont val="Arial"/>
            <family val="2"/>
          </rPr>
          <t xml:space="preserve">answer box 84 words</t>
        </r>
      </text>
    </comment>
    <comment ref="L26" authorId="0">
      <text>
        <r>
          <rPr>
            <sz val="10"/>
            <rFont val="Arial"/>
            <family val="2"/>
          </rPr>
          <t xml:space="preserve">answer box 82 words</t>
        </r>
      </text>
    </comment>
    <comment ref="L27" authorId="0">
      <text>
        <r>
          <rPr>
            <sz val="10"/>
            <rFont val="Arial"/>
            <family val="2"/>
          </rPr>
          <t xml:space="preserve">answer box 85 words</t>
        </r>
      </text>
    </comment>
    <comment ref="L28" authorId="0">
      <text>
        <r>
          <rPr>
            <sz val="10"/>
            <rFont val="Arial"/>
            <family val="2"/>
          </rPr>
          <t xml:space="preserve">answer box 77 words</t>
        </r>
      </text>
    </comment>
    <comment ref="L29" authorId="0">
      <text>
        <r>
          <rPr>
            <sz val="10"/>
            <rFont val="Arial"/>
            <family val="2"/>
          </rPr>
          <t xml:space="preserve">answer box 76 words</t>
        </r>
      </text>
    </comment>
    <comment ref="L30" authorId="0">
      <text>
        <r>
          <rPr>
            <sz val="10"/>
            <rFont val="Arial"/>
            <family val="2"/>
          </rPr>
          <t xml:space="preserve">answer box 83 words</t>
        </r>
      </text>
    </comment>
    <comment ref="L31" authorId="0">
      <text>
        <r>
          <rPr>
            <sz val="10"/>
            <rFont val="Arial"/>
            <family val="2"/>
          </rPr>
          <t xml:space="preserve">answer box 79 words</t>
        </r>
      </text>
    </comment>
    <comment ref="L32" authorId="0">
      <text>
        <r>
          <rPr>
            <sz val="10"/>
            <rFont val="Arial"/>
            <family val="2"/>
          </rPr>
          <t xml:space="preserve">answer box 74 words</t>
        </r>
      </text>
    </comment>
    <comment ref="L33" authorId="0">
      <text>
        <r>
          <rPr>
            <sz val="10"/>
            <rFont val="Arial"/>
            <family val="2"/>
          </rPr>
          <t xml:space="preserve">answer box 73 words</t>
        </r>
      </text>
    </comment>
    <comment ref="L34" authorId="0">
      <text>
        <r>
          <rPr>
            <sz val="10"/>
            <rFont val="Arial"/>
            <family val="2"/>
          </rPr>
          <t xml:space="preserve">answer box 76 words</t>
        </r>
      </text>
    </comment>
    <comment ref="L35" authorId="0">
      <text>
        <r>
          <rPr>
            <sz val="10"/>
            <rFont val="Arial"/>
            <family val="2"/>
          </rPr>
          <t xml:space="preserve">answer box 72 words</t>
        </r>
      </text>
    </comment>
    <comment ref="L36" authorId="0">
      <text>
        <r>
          <rPr>
            <sz val="10"/>
            <rFont val="Arial"/>
            <family val="2"/>
          </rPr>
          <t xml:space="preserve">answer box 77 words</t>
        </r>
      </text>
    </comment>
    <comment ref="L37" authorId="0">
      <text>
        <r>
          <rPr>
            <sz val="10"/>
            <rFont val="Arial"/>
            <family val="2"/>
          </rPr>
          <t xml:space="preserve">answer box 78 words</t>
        </r>
      </text>
    </comment>
    <comment ref="L38" authorId="0">
      <text>
        <r>
          <rPr>
            <sz val="10"/>
            <rFont val="Arial"/>
            <family val="2"/>
          </rPr>
          <t xml:space="preserve">answer box 74 words</t>
        </r>
      </text>
    </comment>
    <comment ref="L39" authorId="0">
      <text>
        <r>
          <rPr>
            <sz val="10"/>
            <rFont val="Arial"/>
            <family val="2"/>
          </rPr>
          <t xml:space="preserve">answer box 77 words</t>
        </r>
      </text>
    </comment>
    <comment ref="L40" authorId="0">
      <text>
        <r>
          <rPr>
            <sz val="10"/>
            <rFont val="Arial"/>
            <family val="2"/>
          </rPr>
          <t xml:space="preserve">answer box 81 words</t>
        </r>
      </text>
    </comment>
    <comment ref="L41" authorId="0">
      <text>
        <r>
          <rPr>
            <sz val="10"/>
            <rFont val="Arial"/>
            <family val="2"/>
          </rPr>
          <t xml:space="preserve">answer box 82 words</t>
        </r>
      </text>
    </comment>
    <comment ref="L42" authorId="0">
      <text>
        <r>
          <rPr>
            <sz val="10"/>
            <rFont val="Arial"/>
            <family val="2"/>
          </rPr>
          <t xml:space="preserve">answer box 77 words</t>
        </r>
      </text>
    </comment>
    <comment ref="L43" authorId="0">
      <text>
        <r>
          <rPr>
            <sz val="10"/>
            <rFont val="Arial"/>
            <family val="2"/>
          </rPr>
          <t xml:space="preserve">answer box 77 words</t>
        </r>
      </text>
    </comment>
    <comment ref="L44" authorId="0">
      <text>
        <r>
          <rPr>
            <sz val="10"/>
            <rFont val="Arial"/>
            <family val="2"/>
          </rPr>
          <t xml:space="preserve">answer box 83 words</t>
        </r>
      </text>
    </comment>
    <comment ref="L45" authorId="0">
      <text>
        <r>
          <rPr>
            <sz val="10"/>
            <rFont val="Arial"/>
            <family val="2"/>
          </rPr>
          <t xml:space="preserve">answer box 81 words</t>
        </r>
      </text>
    </comment>
    <comment ref="L46" authorId="0">
      <text>
        <r>
          <rPr>
            <sz val="10"/>
            <rFont val="Arial"/>
            <family val="2"/>
          </rPr>
          <t xml:space="preserve">answer box 82 words</t>
        </r>
      </text>
    </comment>
    <comment ref="L47" authorId="0">
      <text>
        <r>
          <rPr>
            <sz val="10"/>
            <rFont val="Arial"/>
            <family val="2"/>
          </rPr>
          <t xml:space="preserve">answer box 84 words</t>
        </r>
      </text>
    </comment>
    <comment ref="L48" authorId="0">
      <text>
        <r>
          <rPr>
            <sz val="10"/>
            <rFont val="Arial"/>
            <family val="2"/>
          </rPr>
          <t xml:space="preserve">answer box 87 words</t>
        </r>
      </text>
    </comment>
    <comment ref="L49" authorId="0">
      <text>
        <r>
          <rPr>
            <sz val="10"/>
            <rFont val="Arial"/>
            <family val="2"/>
          </rPr>
          <t xml:space="preserve">answer box 80 words</t>
        </r>
      </text>
    </comment>
    <comment ref="L50" authorId="0">
      <text>
        <r>
          <rPr>
            <sz val="10"/>
            <rFont val="Arial"/>
            <family val="2"/>
          </rPr>
          <t xml:space="preserve">answer box 78 words</t>
        </r>
      </text>
    </comment>
    <comment ref="L51" authorId="0">
      <text>
        <r>
          <rPr>
            <sz val="10"/>
            <rFont val="Arial"/>
            <family val="2"/>
          </rPr>
          <t xml:space="preserve">answer box 83 words</t>
        </r>
      </text>
    </comment>
    <comment ref="L52" authorId="0">
      <text>
        <r>
          <rPr>
            <sz val="10"/>
            <rFont val="Arial"/>
            <family val="2"/>
          </rPr>
          <t xml:space="preserve">answer box 77 words</t>
        </r>
      </text>
    </comment>
    <comment ref="L53" authorId="0">
      <text>
        <r>
          <rPr>
            <sz val="10"/>
            <rFont val="Arial"/>
            <family val="2"/>
          </rPr>
          <t xml:space="preserve">answer box 78 words</t>
        </r>
      </text>
    </comment>
    <comment ref="L54" authorId="0">
      <text>
        <r>
          <rPr>
            <sz val="10"/>
            <rFont val="Arial"/>
            <family val="2"/>
          </rPr>
          <t xml:space="preserve">answer box 80 words</t>
        </r>
      </text>
    </comment>
    <comment ref="L55" authorId="0">
      <text>
        <r>
          <rPr>
            <sz val="10"/>
            <rFont val="Arial"/>
            <family val="2"/>
          </rPr>
          <t xml:space="preserve">answer box 88 words</t>
        </r>
      </text>
    </comment>
    <comment ref="L56" authorId="0">
      <text>
        <r>
          <rPr>
            <sz val="10"/>
            <rFont val="Arial"/>
            <family val="2"/>
          </rPr>
          <t xml:space="preserve">answer box 82 words</t>
        </r>
      </text>
    </comment>
    <comment ref="L57" authorId="0">
      <text>
        <r>
          <rPr>
            <sz val="10"/>
            <rFont val="Arial"/>
            <family val="2"/>
          </rPr>
          <t xml:space="preserve">answer box 83 words</t>
        </r>
      </text>
    </comment>
    <comment ref="L58" authorId="0">
      <text>
        <r>
          <rPr>
            <sz val="10"/>
            <rFont val="Arial"/>
            <family val="2"/>
          </rPr>
          <t xml:space="preserve">answer box 68 words</t>
        </r>
      </text>
    </comment>
    <comment ref="L59" authorId="0">
      <text>
        <r>
          <rPr>
            <sz val="10"/>
            <rFont val="Arial"/>
            <family val="2"/>
          </rPr>
          <t xml:space="preserve">answer box 72 words</t>
        </r>
      </text>
    </comment>
    <comment ref="L60" authorId="0">
      <text>
        <r>
          <rPr>
            <sz val="10"/>
            <rFont val="Arial"/>
            <family val="2"/>
          </rPr>
          <t xml:space="preserve">answer box 69 words</t>
        </r>
      </text>
    </comment>
    <comment ref="L61" authorId="0">
      <text>
        <r>
          <rPr>
            <sz val="10"/>
            <rFont val="Arial"/>
            <family val="2"/>
          </rPr>
          <t xml:space="preserve">answer box 71 words</t>
        </r>
      </text>
    </comment>
    <comment ref="L62" authorId="0">
      <text>
        <r>
          <rPr>
            <sz val="10"/>
            <rFont val="Arial"/>
            <family val="2"/>
          </rPr>
          <t xml:space="preserve">answer box 71 words</t>
        </r>
      </text>
    </comment>
    <comment ref="L63" authorId="0">
      <text>
        <r>
          <rPr>
            <sz val="10"/>
            <rFont val="Arial"/>
            <family val="2"/>
          </rPr>
          <t xml:space="preserve">answer box 79 words</t>
        </r>
      </text>
    </comment>
    <comment ref="L64" authorId="0">
      <text>
        <r>
          <rPr>
            <sz val="10"/>
            <rFont val="Arial"/>
            <family val="2"/>
          </rPr>
          <t xml:space="preserve">answer box 79 words</t>
        </r>
      </text>
    </comment>
    <comment ref="L65" authorId="0">
      <text>
        <r>
          <rPr>
            <sz val="10"/>
            <rFont val="Arial"/>
            <family val="2"/>
          </rPr>
          <t xml:space="preserve">answer box 76 words</t>
        </r>
      </text>
    </comment>
    <comment ref="L66" authorId="0">
      <text>
        <r>
          <rPr>
            <sz val="10"/>
            <rFont val="Arial"/>
            <family val="2"/>
          </rPr>
          <t xml:space="preserve">answer box 73 words</t>
        </r>
      </text>
    </comment>
    <comment ref="L67" authorId="0">
      <text>
        <r>
          <rPr>
            <sz val="10"/>
            <rFont val="Arial"/>
            <family val="2"/>
          </rPr>
          <t xml:space="preserve">answer box 80 words</t>
        </r>
      </text>
    </comment>
    <comment ref="L68" authorId="0">
      <text>
        <r>
          <rPr>
            <sz val="10"/>
            <rFont val="Arial"/>
            <family val="2"/>
          </rPr>
          <t xml:space="preserve">answer box 76 words</t>
        </r>
      </text>
    </comment>
    <comment ref="L69" authorId="0">
      <text>
        <r>
          <rPr>
            <sz val="10"/>
            <rFont val="Arial"/>
            <family val="2"/>
          </rPr>
          <t xml:space="preserve">answer box 75 words</t>
        </r>
      </text>
    </comment>
    <comment ref="L70" authorId="0">
      <text>
        <r>
          <rPr>
            <sz val="10"/>
            <rFont val="Arial"/>
            <family val="2"/>
          </rPr>
          <t xml:space="preserve">answer box 85 words</t>
        </r>
      </text>
    </comment>
    <comment ref="L71" authorId="0">
      <text>
        <r>
          <rPr>
            <sz val="10"/>
            <rFont val="Arial"/>
            <family val="2"/>
          </rPr>
          <t xml:space="preserve">answer box 77 words</t>
        </r>
      </text>
    </comment>
    <comment ref="L72" authorId="0">
      <text>
        <r>
          <rPr>
            <sz val="10"/>
            <rFont val="Arial"/>
            <family val="2"/>
          </rPr>
          <t xml:space="preserve">answer box 82 words</t>
        </r>
      </text>
    </comment>
    <comment ref="L73" authorId="0">
      <text>
        <r>
          <rPr>
            <sz val="10"/>
            <rFont val="Arial"/>
            <family val="2"/>
          </rPr>
          <t xml:space="preserve">answer box 77 words</t>
        </r>
      </text>
    </comment>
    <comment ref="L74" authorId="0">
      <text>
        <r>
          <rPr>
            <sz val="10"/>
            <rFont val="Arial"/>
            <family val="2"/>
          </rPr>
          <t xml:space="preserve">answer box 80 words</t>
        </r>
      </text>
    </comment>
    <comment ref="L75" authorId="0">
      <text>
        <r>
          <rPr>
            <sz val="10"/>
            <rFont val="Arial"/>
            <family val="2"/>
          </rPr>
          <t xml:space="preserve">answer box 73 words</t>
        </r>
      </text>
    </comment>
    <comment ref="L76" authorId="0">
      <text>
        <r>
          <rPr>
            <sz val="10"/>
            <rFont val="Arial"/>
            <family val="2"/>
          </rPr>
          <t xml:space="preserve">answer box 74 words</t>
        </r>
      </text>
    </comment>
    <comment ref="L77" authorId="0">
      <text>
        <r>
          <rPr>
            <sz val="10"/>
            <rFont val="Arial"/>
            <family val="2"/>
          </rPr>
          <t xml:space="preserve">answer box 78 words</t>
        </r>
      </text>
    </comment>
    <comment ref="L78" authorId="0">
      <text>
        <r>
          <rPr>
            <sz val="10"/>
            <rFont val="Arial"/>
            <family val="2"/>
          </rPr>
          <t xml:space="preserve">answer box 86 words</t>
        </r>
      </text>
    </comment>
    <comment ref="L79" authorId="0">
      <text>
        <r>
          <rPr>
            <sz val="10"/>
            <rFont val="Arial"/>
            <family val="2"/>
          </rPr>
          <t xml:space="preserve">answer box 85 words</t>
        </r>
      </text>
    </comment>
    <comment ref="L80" authorId="0">
      <text>
        <r>
          <rPr>
            <sz val="10"/>
            <rFont val="Arial"/>
            <family val="2"/>
          </rPr>
          <t xml:space="preserve">answer box 81 words</t>
        </r>
      </text>
    </comment>
    <comment ref="L81" authorId="0">
      <text>
        <r>
          <rPr>
            <sz val="10"/>
            <rFont val="Arial"/>
            <family val="2"/>
          </rPr>
          <t xml:space="preserve">answer box 80 words</t>
        </r>
      </text>
    </comment>
    <comment ref="L82" authorId="0">
      <text>
        <r>
          <rPr>
            <sz val="10"/>
            <rFont val="Arial"/>
            <family val="2"/>
          </rPr>
          <t xml:space="preserve">answer box 81 words</t>
        </r>
      </text>
    </comment>
    <comment ref="L83" authorId="0">
      <text>
        <r>
          <rPr>
            <sz val="10"/>
            <rFont val="Arial"/>
            <family val="2"/>
          </rPr>
          <t xml:space="preserve">answer box 77 words</t>
        </r>
      </text>
    </comment>
    <comment ref="L84" authorId="0">
      <text>
        <r>
          <rPr>
            <sz val="10"/>
            <rFont val="Arial"/>
            <family val="2"/>
          </rPr>
          <t xml:space="preserve">answer box 80 words</t>
        </r>
      </text>
    </comment>
    <comment ref="L85" authorId="0">
      <text>
        <r>
          <rPr>
            <sz val="10"/>
            <rFont val="Arial"/>
            <family val="2"/>
          </rPr>
          <t xml:space="preserve">answer box 75 words</t>
        </r>
      </text>
    </comment>
    <comment ref="L86" authorId="0">
      <text>
        <r>
          <rPr>
            <sz val="10"/>
            <rFont val="Arial"/>
            <family val="2"/>
          </rPr>
          <t xml:space="preserve">answer box 78 words</t>
        </r>
      </text>
    </comment>
    <comment ref="L87" authorId="0">
      <text>
        <r>
          <rPr>
            <sz val="10"/>
            <rFont val="Arial"/>
            <family val="2"/>
          </rPr>
          <t xml:space="preserve">answer box 79 words</t>
        </r>
      </text>
    </comment>
    <comment ref="L88" authorId="0">
      <text>
        <r>
          <rPr>
            <sz val="10"/>
            <rFont val="Arial"/>
            <family val="2"/>
          </rPr>
          <t xml:space="preserve">answer box 80 words</t>
        </r>
      </text>
    </comment>
    <comment ref="L89" authorId="0">
      <text>
        <r>
          <rPr>
            <sz val="10"/>
            <rFont val="Arial"/>
            <family val="2"/>
          </rPr>
          <t xml:space="preserve">answer box 80 words</t>
        </r>
      </text>
    </comment>
    <comment ref="L90" authorId="0">
      <text>
        <r>
          <rPr>
            <sz val="10"/>
            <rFont val="Arial"/>
            <family val="2"/>
          </rPr>
          <t xml:space="preserve">answer box 80 words</t>
        </r>
      </text>
    </comment>
    <comment ref="L91" authorId="0">
      <text>
        <r>
          <rPr>
            <sz val="10"/>
            <rFont val="Arial"/>
            <family val="2"/>
          </rPr>
          <t xml:space="preserve">answer box 77 words</t>
        </r>
      </text>
    </comment>
    <comment ref="M2" authorId="0">
      <text>
        <r>
          <rPr>
            <sz val="10"/>
            <rFont val="Arial"/>
            <family val="2"/>
          </rPr>
          <t xml:space="preserve">13 subheadings; H1 in body: 0; jumps: []; generic: []</t>
        </r>
      </text>
    </comment>
    <comment ref="M3" authorId="0">
      <text>
        <r>
          <rPr>
            <sz val="10"/>
            <rFont val="Arial"/>
            <family val="2"/>
          </rPr>
          <t xml:space="preserve">12 subheadings; H1 in body: 0; jumps: []; generic: []</t>
        </r>
      </text>
    </comment>
    <comment ref="M4" authorId="0">
      <text>
        <r>
          <rPr>
            <sz val="10"/>
            <rFont val="Arial"/>
            <family val="2"/>
          </rPr>
          <t xml:space="preserve">11 subheadings; H1 in body: 0; jumps: []; generic: []</t>
        </r>
      </text>
    </comment>
    <comment ref="M5" authorId="0">
      <text>
        <r>
          <rPr>
            <sz val="10"/>
            <rFont val="Arial"/>
            <family val="2"/>
          </rPr>
          <t xml:space="preserve">9 subheadings; H1 in body: 0; jumps: []; generic: []</t>
        </r>
      </text>
    </comment>
    <comment ref="M6" authorId="0">
      <text>
        <r>
          <rPr>
            <sz val="10"/>
            <rFont val="Arial"/>
            <family val="2"/>
          </rPr>
          <t xml:space="preserve">12 subheadings; H1 in body: 0; jumps: []; generic: []</t>
        </r>
      </text>
    </comment>
    <comment ref="M7" authorId="0">
      <text>
        <r>
          <rPr>
            <sz val="10"/>
            <rFont val="Arial"/>
            <family val="2"/>
          </rPr>
          <t xml:space="preserve">12 subheadings; H1 in body: 0; jumps: []; generic: []</t>
        </r>
      </text>
    </comment>
    <comment ref="M8" authorId="0">
      <text>
        <r>
          <rPr>
            <sz val="10"/>
            <rFont val="Arial"/>
            <family val="2"/>
          </rPr>
          <t xml:space="preserve">4 subheadings; H1 in body: 0; jumps: []; generic: []</t>
        </r>
      </text>
    </comment>
    <comment ref="M9" authorId="0">
      <text>
        <r>
          <rPr>
            <sz val="10"/>
            <rFont val="Arial"/>
            <family val="2"/>
          </rPr>
          <t xml:space="preserve">10 subheadings; H1 in body: 0; jumps: []; generic: []</t>
        </r>
      </text>
    </comment>
    <comment ref="M10" authorId="0">
      <text>
        <r>
          <rPr>
            <sz val="10"/>
            <rFont val="Arial"/>
            <family val="2"/>
          </rPr>
          <t xml:space="preserve">12 subheadings; H1 in body: 0; jumps: []; generic: []</t>
        </r>
      </text>
    </comment>
    <comment ref="M11" authorId="0">
      <text>
        <r>
          <rPr>
            <sz val="10"/>
            <rFont val="Arial"/>
            <family val="2"/>
          </rPr>
          <t xml:space="preserve">11 subheadings; H1 in body: 0; jumps: []; generic: []</t>
        </r>
      </text>
    </comment>
    <comment ref="M12" authorId="0">
      <text>
        <r>
          <rPr>
            <sz val="10"/>
            <rFont val="Arial"/>
            <family val="2"/>
          </rPr>
          <t xml:space="preserve">12 subheadings; H1 in body: 0; jumps: []; generic: []</t>
        </r>
      </text>
    </comment>
    <comment ref="M13" authorId="0">
      <text>
        <r>
          <rPr>
            <sz val="10"/>
            <rFont val="Arial"/>
            <family val="2"/>
          </rPr>
          <t xml:space="preserve">11 subheadings; H1 in body: 0; jumps: []; generic: []</t>
        </r>
      </text>
    </comment>
    <comment ref="M14" authorId="0">
      <text>
        <r>
          <rPr>
            <sz val="10"/>
            <rFont val="Arial"/>
            <family val="2"/>
          </rPr>
          <t xml:space="preserve">12 subheadings; H1 in body: 0; jumps: []; generic: []</t>
        </r>
      </text>
    </comment>
    <comment ref="M15" authorId="0">
      <text>
        <r>
          <rPr>
            <sz val="10"/>
            <rFont val="Arial"/>
            <family val="2"/>
          </rPr>
          <t xml:space="preserve">10 subheadings; H1 in body: 0; jumps: []; generic: []</t>
        </r>
      </text>
    </comment>
    <comment ref="M16" authorId="0">
      <text>
        <r>
          <rPr>
            <sz val="10"/>
            <rFont val="Arial"/>
            <family val="2"/>
          </rPr>
          <t xml:space="preserve">12 subheadings; H1 in body: 0; jumps: []; generic: []</t>
        </r>
      </text>
    </comment>
    <comment ref="M17" authorId="0">
      <text>
        <r>
          <rPr>
            <sz val="10"/>
            <rFont val="Arial"/>
            <family val="2"/>
          </rPr>
          <t xml:space="preserve">16 subheadings; H1 in body: 0; jumps: []; generic: []</t>
        </r>
      </text>
    </comment>
    <comment ref="M18" authorId="0">
      <text>
        <r>
          <rPr>
            <sz val="10"/>
            <rFont val="Arial"/>
            <family val="2"/>
          </rPr>
          <t xml:space="preserve">10 subheadings; H1 in body: 0; jumps: []; generic: []</t>
        </r>
      </text>
    </comment>
    <comment ref="M19" authorId="0">
      <text>
        <r>
          <rPr>
            <sz val="10"/>
            <rFont val="Arial"/>
            <family val="2"/>
          </rPr>
          <t xml:space="preserve">8 subheadings; H1 in body: 0; jumps: []; generic: []</t>
        </r>
      </text>
    </comment>
    <comment ref="M20" authorId="0">
      <text>
        <r>
          <rPr>
            <sz val="10"/>
            <rFont val="Arial"/>
            <family val="2"/>
          </rPr>
          <t xml:space="preserve">10 subheadings; H1 in body: 0; jumps: []; generic: []</t>
        </r>
      </text>
    </comment>
    <comment ref="M21" authorId="0">
      <text>
        <r>
          <rPr>
            <sz val="10"/>
            <rFont val="Arial"/>
            <family val="2"/>
          </rPr>
          <t xml:space="preserve">12 subheadings; H1 in body: 0; jumps: []; generic: []</t>
        </r>
      </text>
    </comment>
    <comment ref="M22" authorId="0">
      <text>
        <r>
          <rPr>
            <sz val="10"/>
            <rFont val="Arial"/>
            <family val="2"/>
          </rPr>
          <t xml:space="preserve">9 subheadings; H1 in body: 0; jumps: []; generic: []</t>
        </r>
      </text>
    </comment>
    <comment ref="M23" authorId="0">
      <text>
        <r>
          <rPr>
            <sz val="10"/>
            <rFont val="Arial"/>
            <family val="2"/>
          </rPr>
          <t xml:space="preserve">15 subheadings; H1 in body: 0; jumps: []; generic: []</t>
        </r>
      </text>
    </comment>
    <comment ref="M24" authorId="0">
      <text>
        <r>
          <rPr>
            <sz val="10"/>
            <rFont val="Arial"/>
            <family val="2"/>
          </rPr>
          <t xml:space="preserve">10 subheadings; H1 in body: 0; jumps: []; generic: []</t>
        </r>
      </text>
    </comment>
    <comment ref="M25" authorId="0">
      <text>
        <r>
          <rPr>
            <sz val="10"/>
            <rFont val="Arial"/>
            <family val="2"/>
          </rPr>
          <t xml:space="preserve">12 subheadings; H1 in body: 0; jumps: []; generic: []</t>
        </r>
      </text>
    </comment>
    <comment ref="M26" authorId="0">
      <text>
        <r>
          <rPr>
            <sz val="10"/>
            <rFont val="Arial"/>
            <family val="2"/>
          </rPr>
          <t xml:space="preserve">8 subheadings; H1 in body: 0; jumps: []; generic: []</t>
        </r>
      </text>
    </comment>
    <comment ref="M27" authorId="0">
      <text>
        <r>
          <rPr>
            <sz val="10"/>
            <rFont val="Arial"/>
            <family val="2"/>
          </rPr>
          <t xml:space="preserve">10 subheadings; H1 in body: 0; jumps: []; generic: []</t>
        </r>
      </text>
    </comment>
    <comment ref="M28" authorId="0">
      <text>
        <r>
          <rPr>
            <sz val="10"/>
            <rFont val="Arial"/>
            <family val="2"/>
          </rPr>
          <t xml:space="preserve">8 subheadings; H1 in body: 0; jumps: []; generic: []</t>
        </r>
      </text>
    </comment>
    <comment ref="M29" authorId="0">
      <text>
        <r>
          <rPr>
            <sz val="10"/>
            <rFont val="Arial"/>
            <family val="2"/>
          </rPr>
          <t xml:space="preserve">9 subheadings; H1 in body: 0; jumps: []; generic: []</t>
        </r>
      </text>
    </comment>
    <comment ref="M30" authorId="0">
      <text>
        <r>
          <rPr>
            <sz val="10"/>
            <rFont val="Arial"/>
            <family val="2"/>
          </rPr>
          <t xml:space="preserve">11 subheadings; H1 in body: 0; jumps: []; generic: []</t>
        </r>
      </text>
    </comment>
    <comment ref="M31" authorId="0">
      <text>
        <r>
          <rPr>
            <sz val="10"/>
            <rFont val="Arial"/>
            <family val="2"/>
          </rPr>
          <t xml:space="preserve">9 subheadings; H1 in body: 0; jumps: []; generic: []</t>
        </r>
      </text>
    </comment>
    <comment ref="M32" authorId="0">
      <text>
        <r>
          <rPr>
            <sz val="10"/>
            <rFont val="Arial"/>
            <family val="2"/>
          </rPr>
          <t xml:space="preserve">10 subheadings; H1 in body: 0; jumps: []; generic: []</t>
        </r>
      </text>
    </comment>
    <comment ref="M33" authorId="0">
      <text>
        <r>
          <rPr>
            <sz val="10"/>
            <rFont val="Arial"/>
            <family val="2"/>
          </rPr>
          <t xml:space="preserve">14 subheadings; H1 in body: 0; jumps: []; generic: []</t>
        </r>
      </text>
    </comment>
    <comment ref="M34" authorId="0">
      <text>
        <r>
          <rPr>
            <sz val="10"/>
            <rFont val="Arial"/>
            <family val="2"/>
          </rPr>
          <t xml:space="preserve">14 subheadings; H1 in body: 0; jumps: []; generic: []</t>
        </r>
      </text>
    </comment>
    <comment ref="M35" authorId="0">
      <text>
        <r>
          <rPr>
            <sz val="10"/>
            <rFont val="Arial"/>
            <family val="2"/>
          </rPr>
          <t xml:space="preserve">13 subheadings; H1 in body: 0; jumps: []; generic: []</t>
        </r>
      </text>
    </comment>
    <comment ref="M36" authorId="0">
      <text>
        <r>
          <rPr>
            <sz val="10"/>
            <rFont val="Arial"/>
            <family val="2"/>
          </rPr>
          <t xml:space="preserve">14 subheadings; H1 in body: 0; jumps: []; generic: []</t>
        </r>
      </text>
    </comment>
    <comment ref="M37" authorId="0">
      <text>
        <r>
          <rPr>
            <sz val="10"/>
            <rFont val="Arial"/>
            <family val="2"/>
          </rPr>
          <t xml:space="preserve">14 subheadings; H1 in body: 0; jumps: []; generic: []</t>
        </r>
      </text>
    </comment>
    <comment ref="M38" authorId="0">
      <text>
        <r>
          <rPr>
            <sz val="10"/>
            <rFont val="Arial"/>
            <family val="2"/>
          </rPr>
          <t xml:space="preserve">15 subheadings; H1 in body: 0; jumps: []; generic: []</t>
        </r>
      </text>
    </comment>
    <comment ref="M39" authorId="0">
      <text>
        <r>
          <rPr>
            <sz val="10"/>
            <rFont val="Arial"/>
            <family val="2"/>
          </rPr>
          <t xml:space="preserve">12 subheadings; H1 in body: 0; jumps: []; generic: []</t>
        </r>
      </text>
    </comment>
    <comment ref="M40" authorId="0">
      <text>
        <r>
          <rPr>
            <sz val="10"/>
            <rFont val="Arial"/>
            <family val="2"/>
          </rPr>
          <t xml:space="preserve">11 subheadings; H1 in body: 0; jumps: []; generic: []</t>
        </r>
      </text>
    </comment>
    <comment ref="M41" authorId="0">
      <text>
        <r>
          <rPr>
            <sz val="10"/>
            <rFont val="Arial"/>
            <family val="2"/>
          </rPr>
          <t xml:space="preserve">9 subheadings; H1 in body: 0; jumps: []; generic: []</t>
        </r>
      </text>
    </comment>
    <comment ref="M42" authorId="0">
      <text>
        <r>
          <rPr>
            <sz val="10"/>
            <rFont val="Arial"/>
            <family val="2"/>
          </rPr>
          <t xml:space="preserve">11 subheadings; H1 in body: 0; jumps: []; generic: []</t>
        </r>
      </text>
    </comment>
    <comment ref="M43" authorId="0">
      <text>
        <r>
          <rPr>
            <sz val="10"/>
            <rFont val="Arial"/>
            <family val="2"/>
          </rPr>
          <t xml:space="preserve">19 subheadings; H1 in body: 0; jumps: []; generic: []</t>
        </r>
      </text>
    </comment>
    <comment ref="M44" authorId="0">
      <text>
        <r>
          <rPr>
            <sz val="10"/>
            <rFont val="Arial"/>
            <family val="2"/>
          </rPr>
          <t xml:space="preserve">10 subheadings; H1 in body: 0; jumps: []; generic: []</t>
        </r>
      </text>
    </comment>
    <comment ref="M45" authorId="0">
      <text>
        <r>
          <rPr>
            <sz val="10"/>
            <rFont val="Arial"/>
            <family val="2"/>
          </rPr>
          <t xml:space="preserve">16 subheadings; H1 in body: 0; jumps: []; generic: []</t>
        </r>
      </text>
    </comment>
    <comment ref="M46" authorId="0">
      <text>
        <r>
          <rPr>
            <sz val="10"/>
            <rFont val="Arial"/>
            <family val="2"/>
          </rPr>
          <t xml:space="preserve">16 subheadings; H1 in body: 0; jumps: []; generic: []</t>
        </r>
      </text>
    </comment>
    <comment ref="M47" authorId="0">
      <text>
        <r>
          <rPr>
            <sz val="10"/>
            <rFont val="Arial"/>
            <family val="2"/>
          </rPr>
          <t xml:space="preserve">15 subheadings; H1 in body: 0; jumps: []; generic: []</t>
        </r>
      </text>
    </comment>
    <comment ref="M48" authorId="0">
      <text>
        <r>
          <rPr>
            <sz val="10"/>
            <rFont val="Arial"/>
            <family val="2"/>
          </rPr>
          <t xml:space="preserve">11 subheadings; H1 in body: 0; jumps: []; generic: []</t>
        </r>
      </text>
    </comment>
    <comment ref="M49" authorId="0">
      <text>
        <r>
          <rPr>
            <sz val="10"/>
            <rFont val="Arial"/>
            <family val="2"/>
          </rPr>
          <t xml:space="preserve">11 subheadings; H1 in body: 0; jumps: []; generic: []</t>
        </r>
      </text>
    </comment>
    <comment ref="M50" authorId="0">
      <text>
        <r>
          <rPr>
            <sz val="10"/>
            <rFont val="Arial"/>
            <family val="2"/>
          </rPr>
          <t xml:space="preserve">16 subheadings; H1 in body: 0; jumps: []; generic: []</t>
        </r>
      </text>
    </comment>
    <comment ref="M51" authorId="0">
      <text>
        <r>
          <rPr>
            <sz val="10"/>
            <rFont val="Arial"/>
            <family val="2"/>
          </rPr>
          <t xml:space="preserve">9 subheadings; H1 in body: 0; jumps: []; generic: []</t>
        </r>
      </text>
    </comment>
    <comment ref="M52" authorId="0">
      <text>
        <r>
          <rPr>
            <sz val="10"/>
            <rFont val="Arial"/>
            <family val="2"/>
          </rPr>
          <t xml:space="preserve">9 subheadings; H1 in body: 0; jumps: []; generic: []</t>
        </r>
      </text>
    </comment>
    <comment ref="M53" authorId="0">
      <text>
        <r>
          <rPr>
            <sz val="10"/>
            <rFont val="Arial"/>
            <family val="2"/>
          </rPr>
          <t xml:space="preserve">11 subheadings; H1 in body: 0; jumps: []; generic: []</t>
        </r>
      </text>
    </comment>
    <comment ref="M54" authorId="0">
      <text>
        <r>
          <rPr>
            <sz val="10"/>
            <rFont val="Arial"/>
            <family val="2"/>
          </rPr>
          <t xml:space="preserve">14 subheadings; H1 in body: 0; jumps: []; generic: []</t>
        </r>
      </text>
    </comment>
    <comment ref="M55" authorId="0">
      <text>
        <r>
          <rPr>
            <sz val="10"/>
            <rFont val="Arial"/>
            <family val="2"/>
          </rPr>
          <t xml:space="preserve">13 subheadings; H1 in body: 0; jumps: []; generic: []</t>
        </r>
      </text>
    </comment>
    <comment ref="M56" authorId="0">
      <text>
        <r>
          <rPr>
            <sz val="10"/>
            <rFont val="Arial"/>
            <family val="2"/>
          </rPr>
          <t xml:space="preserve">14 subheadings; H1 in body: 0; jumps: []; generic: []</t>
        </r>
      </text>
    </comment>
    <comment ref="M57" authorId="0">
      <text>
        <r>
          <rPr>
            <sz val="10"/>
            <rFont val="Arial"/>
            <family val="2"/>
          </rPr>
          <t xml:space="preserve">11 subheadings; H1 in body: 0; jumps: []; generic: []</t>
        </r>
      </text>
    </comment>
    <comment ref="M58" authorId="0">
      <text>
        <r>
          <rPr>
            <sz val="10"/>
            <rFont val="Arial"/>
            <family val="2"/>
          </rPr>
          <t xml:space="preserve">10 subheadings; H1 in body: 0; jumps: []; generic: []</t>
        </r>
      </text>
    </comment>
    <comment ref="M59" authorId="0">
      <text>
        <r>
          <rPr>
            <sz val="10"/>
            <rFont val="Arial"/>
            <family val="2"/>
          </rPr>
          <t xml:space="preserve">9 subheadings; H1 in body: 0; jumps: []; generic: []</t>
        </r>
      </text>
    </comment>
    <comment ref="M60" authorId="0">
      <text>
        <r>
          <rPr>
            <sz val="10"/>
            <rFont val="Arial"/>
            <family val="2"/>
          </rPr>
          <t xml:space="preserve">15 subheadings; H1 in body: 0; jumps: []; generic: []</t>
        </r>
      </text>
    </comment>
    <comment ref="M61" authorId="0">
      <text>
        <r>
          <rPr>
            <sz val="10"/>
            <rFont val="Arial"/>
            <family val="2"/>
          </rPr>
          <t xml:space="preserve">18 subheadings; H1 in body: 0; jumps: []; generic: []</t>
        </r>
      </text>
    </comment>
    <comment ref="M62" authorId="0">
      <text>
        <r>
          <rPr>
            <sz val="10"/>
            <rFont val="Arial"/>
            <family val="2"/>
          </rPr>
          <t xml:space="preserve">9 subheadings; H1 in body: 0; jumps: []; generic: []</t>
        </r>
      </text>
    </comment>
    <comment ref="M63" authorId="0">
      <text>
        <r>
          <rPr>
            <sz val="10"/>
            <rFont val="Arial"/>
            <family val="2"/>
          </rPr>
          <t xml:space="preserve">11 subheadings; H1 in body: 0; jumps: []; generic: []</t>
        </r>
      </text>
    </comment>
    <comment ref="M64" authorId="0">
      <text>
        <r>
          <rPr>
            <sz val="10"/>
            <rFont val="Arial"/>
            <family val="2"/>
          </rPr>
          <t xml:space="preserve">10 subheadings; H1 in body: 0; jumps: []; generic: []</t>
        </r>
      </text>
    </comment>
    <comment ref="M65" authorId="0">
      <text>
        <r>
          <rPr>
            <sz val="10"/>
            <rFont val="Arial"/>
            <family val="2"/>
          </rPr>
          <t xml:space="preserve">11 subheadings; H1 in body: 0; jumps: []; generic: []</t>
        </r>
      </text>
    </comment>
    <comment ref="M66" authorId="0">
      <text>
        <r>
          <rPr>
            <sz val="10"/>
            <rFont val="Arial"/>
            <family val="2"/>
          </rPr>
          <t xml:space="preserve">10 subheadings; H1 in body: 0; jumps: []; generic: []</t>
        </r>
      </text>
    </comment>
    <comment ref="M67" authorId="0">
      <text>
        <r>
          <rPr>
            <sz val="10"/>
            <rFont val="Arial"/>
            <family val="2"/>
          </rPr>
          <t xml:space="preserve">9 subheadings; H1 in body: 0; jumps: []; generic: []</t>
        </r>
      </text>
    </comment>
    <comment ref="M68" authorId="0">
      <text>
        <r>
          <rPr>
            <sz val="10"/>
            <rFont val="Arial"/>
            <family val="2"/>
          </rPr>
          <t xml:space="preserve">8 subheadings; H1 in body: 0; jumps: []; generic: []</t>
        </r>
      </text>
    </comment>
    <comment ref="M69" authorId="0">
      <text>
        <r>
          <rPr>
            <sz val="10"/>
            <rFont val="Arial"/>
            <family val="2"/>
          </rPr>
          <t xml:space="preserve">8 subheadings; H1 in body: 0; jumps: []; generic: []</t>
        </r>
      </text>
    </comment>
    <comment ref="M70" authorId="0">
      <text>
        <r>
          <rPr>
            <sz val="10"/>
            <rFont val="Arial"/>
            <family val="2"/>
          </rPr>
          <t xml:space="preserve">14 subheadings; H1 in body: 0; jumps: []; generic: []</t>
        </r>
      </text>
    </comment>
    <comment ref="M71" authorId="0">
      <text>
        <r>
          <rPr>
            <sz val="10"/>
            <rFont val="Arial"/>
            <family val="2"/>
          </rPr>
          <t xml:space="preserve">11 subheadings; H1 in body: 0; jumps: []; generic: []</t>
        </r>
      </text>
    </comment>
    <comment ref="M72" authorId="0">
      <text>
        <r>
          <rPr>
            <sz val="10"/>
            <rFont val="Arial"/>
            <family val="2"/>
          </rPr>
          <t xml:space="preserve">11 subheadings; H1 in body: 0; jumps: []; generic: []</t>
        </r>
      </text>
    </comment>
    <comment ref="M73" authorId="0">
      <text>
        <r>
          <rPr>
            <sz val="10"/>
            <rFont val="Arial"/>
            <family val="2"/>
          </rPr>
          <t xml:space="preserve">9 subheadings; H1 in body: 0; jumps: []; generic: []</t>
        </r>
      </text>
    </comment>
    <comment ref="M74" authorId="0">
      <text>
        <r>
          <rPr>
            <sz val="10"/>
            <rFont val="Arial"/>
            <family val="2"/>
          </rPr>
          <t xml:space="preserve">9 subheadings; H1 in body: 0; jumps: []; generic: []</t>
        </r>
      </text>
    </comment>
    <comment ref="M75" authorId="0">
      <text>
        <r>
          <rPr>
            <sz val="10"/>
            <rFont val="Arial"/>
            <family val="2"/>
          </rPr>
          <t xml:space="preserve">13 subheadings; H1 in body: 0; jumps: []; generic: []</t>
        </r>
      </text>
    </comment>
    <comment ref="M76" authorId="0">
      <text>
        <r>
          <rPr>
            <sz val="10"/>
            <rFont val="Arial"/>
            <family val="2"/>
          </rPr>
          <t xml:space="preserve">10 subheadings; H1 in body: 0; jumps: []; generic: []</t>
        </r>
      </text>
    </comment>
    <comment ref="M77" authorId="0">
      <text>
        <r>
          <rPr>
            <sz val="10"/>
            <rFont val="Arial"/>
            <family val="2"/>
          </rPr>
          <t xml:space="preserve">11 subheadings; H1 in body: 0; jumps: []; generic: []</t>
        </r>
      </text>
    </comment>
    <comment ref="M78" authorId="0">
      <text>
        <r>
          <rPr>
            <sz val="10"/>
            <rFont val="Arial"/>
            <family val="2"/>
          </rPr>
          <t xml:space="preserve">10 subheadings; H1 in body: 0; jumps: []; generic: []</t>
        </r>
      </text>
    </comment>
    <comment ref="M79" authorId="0">
      <text>
        <r>
          <rPr>
            <sz val="10"/>
            <rFont val="Arial"/>
            <family val="2"/>
          </rPr>
          <t xml:space="preserve">12 subheadings; H1 in body: 0; jumps: []; generic: []</t>
        </r>
      </text>
    </comment>
    <comment ref="M80" authorId="0">
      <text>
        <r>
          <rPr>
            <sz val="10"/>
            <rFont val="Arial"/>
            <family val="2"/>
          </rPr>
          <t xml:space="preserve">10 subheadings; H1 in body: 0; jumps: []; generic: []</t>
        </r>
      </text>
    </comment>
    <comment ref="M81" authorId="0">
      <text>
        <r>
          <rPr>
            <sz val="10"/>
            <rFont val="Arial"/>
            <family val="2"/>
          </rPr>
          <t xml:space="preserve">10 subheadings; H1 in body: 0; jumps: []; generic: []</t>
        </r>
      </text>
    </comment>
    <comment ref="M82" authorId="0">
      <text>
        <r>
          <rPr>
            <sz val="10"/>
            <rFont val="Arial"/>
            <family val="2"/>
          </rPr>
          <t xml:space="preserve">10 subheadings; H1 in body: 0; jumps: []; generic: []</t>
        </r>
      </text>
    </comment>
    <comment ref="M83" authorId="0">
      <text>
        <r>
          <rPr>
            <sz val="10"/>
            <rFont val="Arial"/>
            <family val="2"/>
          </rPr>
          <t xml:space="preserve">11 subheadings; H1 in body: 0; jumps: []; generic: []</t>
        </r>
      </text>
    </comment>
    <comment ref="M84" authorId="0">
      <text>
        <r>
          <rPr>
            <sz val="10"/>
            <rFont val="Arial"/>
            <family val="2"/>
          </rPr>
          <t xml:space="preserve">12 subheadings; H1 in body: 0; jumps: []; generic: []</t>
        </r>
      </text>
    </comment>
    <comment ref="M85" authorId="0">
      <text>
        <r>
          <rPr>
            <sz val="10"/>
            <rFont val="Arial"/>
            <family val="2"/>
          </rPr>
          <t xml:space="preserve">12 subheadings; H1 in body: 0; jumps: []; generic: []</t>
        </r>
      </text>
    </comment>
    <comment ref="M86" authorId="0">
      <text>
        <r>
          <rPr>
            <sz val="10"/>
            <rFont val="Arial"/>
            <family val="2"/>
          </rPr>
          <t xml:space="preserve">10 subheadings; H1 in body: 0; jumps: []; generic: []</t>
        </r>
      </text>
    </comment>
    <comment ref="M87" authorId="0">
      <text>
        <r>
          <rPr>
            <sz val="10"/>
            <rFont val="Arial"/>
            <family val="2"/>
          </rPr>
          <t xml:space="preserve">12 subheadings; H1 in body: 0; jumps: []; generic: []</t>
        </r>
      </text>
    </comment>
    <comment ref="M88" authorId="0">
      <text>
        <r>
          <rPr>
            <sz val="10"/>
            <rFont val="Arial"/>
            <family val="2"/>
          </rPr>
          <t xml:space="preserve">11 subheadings; H1 in body: 0; jumps: []; generic: []</t>
        </r>
      </text>
    </comment>
    <comment ref="M89" authorId="0">
      <text>
        <r>
          <rPr>
            <sz val="10"/>
            <rFont val="Arial"/>
            <family val="2"/>
          </rPr>
          <t xml:space="preserve">8 subheadings; H1 in body: 0; jumps: []; generic: []</t>
        </r>
      </text>
    </comment>
    <comment ref="M90" authorId="0">
      <text>
        <r>
          <rPr>
            <sz val="10"/>
            <rFont val="Arial"/>
            <family val="2"/>
          </rPr>
          <t xml:space="preserve">11 subheadings; H1 in body: 0; jumps: []; generic: []</t>
        </r>
      </text>
    </comment>
    <comment ref="M91" authorId="0">
      <text>
        <r>
          <rPr>
            <sz val="10"/>
            <rFont val="Arial"/>
            <family val="2"/>
          </rPr>
          <t xml:space="preserve">3 subheadings; H1 in body: 0; jumps: []; generic: []</t>
        </r>
      </text>
    </comment>
    <comment ref="N2" authorId="0">
      <text>
        <r>
          <rPr>
            <sz val="10"/>
            <rFont val="Arial"/>
            <family val="2"/>
          </rPr>
          <t xml:space="preserve">clean</t>
        </r>
      </text>
    </comment>
    <comment ref="N3" authorId="0">
      <text>
        <r>
          <rPr>
            <sz val="10"/>
            <rFont val="Arial"/>
            <family val="2"/>
          </rPr>
          <t xml:space="preserve">clean</t>
        </r>
      </text>
    </comment>
    <comment ref="N4" authorId="0">
      <text>
        <r>
          <rPr>
            <sz val="10"/>
            <rFont val="Arial"/>
            <family val="2"/>
          </rPr>
          <t xml:space="preserve">clean</t>
        </r>
      </text>
    </comment>
    <comment ref="N5" authorId="0">
      <text>
        <r>
          <rPr>
            <sz val="10"/>
            <rFont val="Arial"/>
            <family val="2"/>
          </rPr>
          <t xml:space="preserve">clean</t>
        </r>
      </text>
    </comment>
    <comment ref="N6" authorId="0">
      <text>
        <r>
          <rPr>
            <sz val="10"/>
            <rFont val="Arial"/>
            <family val="2"/>
          </rPr>
          <t xml:space="preserve">clean</t>
        </r>
      </text>
    </comment>
    <comment ref="N7" authorId="0">
      <text>
        <r>
          <rPr>
            <sz val="10"/>
            <rFont val="Arial"/>
            <family val="2"/>
          </rPr>
          <t xml:space="preserve">clean</t>
        </r>
      </text>
    </comment>
    <comment ref="N8" authorId="0">
      <text>
        <r>
          <rPr>
            <sz val="10"/>
            <rFont val="Arial"/>
            <family val="2"/>
          </rPr>
          <t xml:space="preserve">clean</t>
        </r>
      </text>
    </comment>
    <comment ref="N9" authorId="0">
      <text>
        <r>
          <rPr>
            <sz val="10"/>
            <rFont val="Arial"/>
            <family val="2"/>
          </rPr>
          <t xml:space="preserve">clean</t>
        </r>
      </text>
    </comment>
    <comment ref="N10" authorId="0">
      <text>
        <r>
          <rPr>
            <sz val="10"/>
            <rFont val="Arial"/>
            <family val="2"/>
          </rPr>
          <t xml:space="preserve">clean</t>
        </r>
      </text>
    </comment>
    <comment ref="N11" authorId="0">
      <text>
        <r>
          <rPr>
            <sz val="10"/>
            <rFont val="Arial"/>
            <family val="2"/>
          </rPr>
          <t xml:space="preserve">clean</t>
        </r>
      </text>
    </comment>
    <comment ref="N12" authorId="0">
      <text>
        <r>
          <rPr>
            <sz val="10"/>
            <rFont val="Arial"/>
            <family val="2"/>
          </rPr>
          <t xml:space="preserve">clean</t>
        </r>
      </text>
    </comment>
    <comment ref="N13" authorId="0">
      <text>
        <r>
          <rPr>
            <sz val="10"/>
            <rFont val="Arial"/>
            <family val="2"/>
          </rPr>
          <t xml:space="preserve">clean</t>
        </r>
      </text>
    </comment>
    <comment ref="N14" authorId="0">
      <text>
        <r>
          <rPr>
            <sz val="10"/>
            <rFont val="Arial"/>
            <family val="2"/>
          </rPr>
          <t xml:space="preserve">clean</t>
        </r>
      </text>
    </comment>
    <comment ref="N15" authorId="0">
      <text>
        <r>
          <rPr>
            <sz val="10"/>
            <rFont val="Arial"/>
            <family val="2"/>
          </rPr>
          <t xml:space="preserve">clean</t>
        </r>
      </text>
    </comment>
    <comment ref="N16" authorId="0">
      <text>
        <r>
          <rPr>
            <sz val="10"/>
            <rFont val="Arial"/>
            <family val="2"/>
          </rPr>
          <t xml:space="preserve">clean</t>
        </r>
      </text>
    </comment>
    <comment ref="N17" authorId="0">
      <text>
        <r>
          <rPr>
            <sz val="10"/>
            <rFont val="Arial"/>
            <family val="2"/>
          </rPr>
          <t xml:space="preserve">clean</t>
        </r>
      </text>
    </comment>
    <comment ref="N18" authorId="0">
      <text>
        <r>
          <rPr>
            <sz val="10"/>
            <rFont val="Arial"/>
            <family val="2"/>
          </rPr>
          <t xml:space="preserve">clean</t>
        </r>
      </text>
    </comment>
    <comment ref="N19" authorId="0">
      <text>
        <r>
          <rPr>
            <sz val="10"/>
            <rFont val="Arial"/>
            <family val="2"/>
          </rPr>
          <t xml:space="preserve">clean</t>
        </r>
      </text>
    </comment>
    <comment ref="N20" authorId="0">
      <text>
        <r>
          <rPr>
            <sz val="10"/>
            <rFont val="Arial"/>
            <family val="2"/>
          </rPr>
          <t xml:space="preserve">clean</t>
        </r>
      </text>
    </comment>
    <comment ref="N21" authorId="0">
      <text>
        <r>
          <rPr>
            <sz val="10"/>
            <rFont val="Arial"/>
            <family val="2"/>
          </rPr>
          <t xml:space="preserve">clean</t>
        </r>
      </text>
    </comment>
    <comment ref="N22" authorId="0">
      <text>
        <r>
          <rPr>
            <sz val="10"/>
            <rFont val="Arial"/>
            <family val="2"/>
          </rPr>
          <t xml:space="preserve">clean</t>
        </r>
      </text>
    </comment>
    <comment ref="N23" authorId="0">
      <text>
        <r>
          <rPr>
            <sz val="10"/>
            <rFont val="Arial"/>
            <family val="2"/>
          </rPr>
          <t xml:space="preserve">clean</t>
        </r>
      </text>
    </comment>
    <comment ref="N24" authorId="0">
      <text>
        <r>
          <rPr>
            <sz val="10"/>
            <rFont val="Arial"/>
            <family val="2"/>
          </rPr>
          <t xml:space="preserve">clean</t>
        </r>
      </text>
    </comment>
    <comment ref="N25" authorId="0">
      <text>
        <r>
          <rPr>
            <sz val="10"/>
            <rFont val="Arial"/>
            <family val="2"/>
          </rPr>
          <t xml:space="preserve">clean</t>
        </r>
      </text>
    </comment>
    <comment ref="N26" authorId="0">
      <text>
        <r>
          <rPr>
            <sz val="10"/>
            <rFont val="Arial"/>
            <family val="2"/>
          </rPr>
          <t xml:space="preserve">clean</t>
        </r>
      </text>
    </comment>
    <comment ref="N27" authorId="0">
      <text>
        <r>
          <rPr>
            <sz val="10"/>
            <rFont val="Arial"/>
            <family val="2"/>
          </rPr>
          <t xml:space="preserve">clean</t>
        </r>
      </text>
    </comment>
    <comment ref="N28" authorId="0">
      <text>
        <r>
          <rPr>
            <sz val="10"/>
            <rFont val="Arial"/>
            <family val="2"/>
          </rPr>
          <t xml:space="preserve">clean</t>
        </r>
      </text>
    </comment>
    <comment ref="N29" authorId="0">
      <text>
        <r>
          <rPr>
            <sz val="10"/>
            <rFont val="Arial"/>
            <family val="2"/>
          </rPr>
          <t xml:space="preserve">clean</t>
        </r>
      </text>
    </comment>
    <comment ref="N30" authorId="0">
      <text>
        <r>
          <rPr>
            <sz val="10"/>
            <rFont val="Arial"/>
            <family val="2"/>
          </rPr>
          <t xml:space="preserve">clean</t>
        </r>
      </text>
    </comment>
    <comment ref="N31" authorId="0">
      <text>
        <r>
          <rPr>
            <sz val="10"/>
            <rFont val="Arial"/>
            <family val="2"/>
          </rPr>
          <t xml:space="preserve">clean</t>
        </r>
      </text>
    </comment>
    <comment ref="N32" authorId="0">
      <text>
        <r>
          <rPr>
            <sz val="10"/>
            <rFont val="Arial"/>
            <family val="2"/>
          </rPr>
          <t xml:space="preserve">clean</t>
        </r>
      </text>
    </comment>
    <comment ref="N33" authorId="0">
      <text>
        <r>
          <rPr>
            <sz val="10"/>
            <rFont val="Arial"/>
            <family val="2"/>
          </rPr>
          <t xml:space="preserve">clean</t>
        </r>
      </text>
    </comment>
    <comment ref="N34" authorId="0">
      <text>
        <r>
          <rPr>
            <sz val="10"/>
            <rFont val="Arial"/>
            <family val="2"/>
          </rPr>
          <t xml:space="preserve">clean</t>
        </r>
      </text>
    </comment>
    <comment ref="N35" authorId="0">
      <text>
        <r>
          <rPr>
            <sz val="10"/>
            <rFont val="Arial"/>
            <family val="2"/>
          </rPr>
          <t xml:space="preserve">clean</t>
        </r>
      </text>
    </comment>
    <comment ref="N36" authorId="0">
      <text>
        <r>
          <rPr>
            <sz val="10"/>
            <rFont val="Arial"/>
            <family val="2"/>
          </rPr>
          <t xml:space="preserve">clean</t>
        </r>
      </text>
    </comment>
    <comment ref="N37" authorId="0">
      <text>
        <r>
          <rPr>
            <sz val="10"/>
            <rFont val="Arial"/>
            <family val="2"/>
          </rPr>
          <t xml:space="preserve">clean</t>
        </r>
      </text>
    </comment>
    <comment ref="N38" authorId="0">
      <text>
        <r>
          <rPr>
            <sz val="10"/>
            <rFont val="Arial"/>
            <family val="2"/>
          </rPr>
          <t xml:space="preserve">clean</t>
        </r>
      </text>
    </comment>
    <comment ref="N39" authorId="0">
      <text>
        <r>
          <rPr>
            <sz val="10"/>
            <rFont val="Arial"/>
            <family val="2"/>
          </rPr>
          <t xml:space="preserve">clean</t>
        </r>
      </text>
    </comment>
    <comment ref="N40" authorId="0">
      <text>
        <r>
          <rPr>
            <sz val="10"/>
            <rFont val="Arial"/>
            <family val="2"/>
          </rPr>
          <t xml:space="preserve">clean</t>
        </r>
      </text>
    </comment>
    <comment ref="N41" authorId="0">
      <text>
        <r>
          <rPr>
            <sz val="10"/>
            <rFont val="Arial"/>
            <family val="2"/>
          </rPr>
          <t xml:space="preserve">clean</t>
        </r>
      </text>
    </comment>
    <comment ref="N42" authorId="0">
      <text>
        <r>
          <rPr>
            <sz val="10"/>
            <rFont val="Arial"/>
            <family val="2"/>
          </rPr>
          <t xml:space="preserve">clean</t>
        </r>
      </text>
    </comment>
    <comment ref="N43" authorId="0">
      <text>
        <r>
          <rPr>
            <sz val="10"/>
            <rFont val="Arial"/>
            <family val="2"/>
          </rPr>
          <t xml:space="preserve">clean</t>
        </r>
      </text>
    </comment>
    <comment ref="N44" authorId="0">
      <text>
        <r>
          <rPr>
            <sz val="10"/>
            <rFont val="Arial"/>
            <family val="2"/>
          </rPr>
          <t xml:space="preserve">clean</t>
        </r>
      </text>
    </comment>
    <comment ref="N45" authorId="0">
      <text>
        <r>
          <rPr>
            <sz val="10"/>
            <rFont val="Arial"/>
            <family val="2"/>
          </rPr>
          <t xml:space="preserve">clean</t>
        </r>
      </text>
    </comment>
    <comment ref="N46" authorId="0">
      <text>
        <r>
          <rPr>
            <sz val="10"/>
            <rFont val="Arial"/>
            <family val="2"/>
          </rPr>
          <t xml:space="preserve">clean</t>
        </r>
      </text>
    </comment>
    <comment ref="N47" authorId="0">
      <text>
        <r>
          <rPr>
            <sz val="10"/>
            <rFont val="Arial"/>
            <family val="2"/>
          </rPr>
          <t xml:space="preserve">clean</t>
        </r>
      </text>
    </comment>
    <comment ref="N48" authorId="0">
      <text>
        <r>
          <rPr>
            <sz val="10"/>
            <rFont val="Arial"/>
            <family val="2"/>
          </rPr>
          <t xml:space="preserve">clean</t>
        </r>
      </text>
    </comment>
    <comment ref="N49" authorId="0">
      <text>
        <r>
          <rPr>
            <sz val="10"/>
            <rFont val="Arial"/>
            <family val="2"/>
          </rPr>
          <t xml:space="preserve">clean</t>
        </r>
      </text>
    </comment>
    <comment ref="N50" authorId="0">
      <text>
        <r>
          <rPr>
            <sz val="10"/>
            <rFont val="Arial"/>
            <family val="2"/>
          </rPr>
          <t xml:space="preserve">clean</t>
        </r>
      </text>
    </comment>
    <comment ref="N51" authorId="0">
      <text>
        <r>
          <rPr>
            <sz val="10"/>
            <rFont val="Arial"/>
            <family val="2"/>
          </rPr>
          <t xml:space="preserve">clean</t>
        </r>
      </text>
    </comment>
    <comment ref="N52" authorId="0">
      <text>
        <r>
          <rPr>
            <sz val="10"/>
            <rFont val="Arial"/>
            <family val="2"/>
          </rPr>
          <t xml:space="preserve">clean</t>
        </r>
      </text>
    </comment>
    <comment ref="N53" authorId="0">
      <text>
        <r>
          <rPr>
            <sz val="10"/>
            <rFont val="Arial"/>
            <family val="2"/>
          </rPr>
          <t xml:space="preserve">clean</t>
        </r>
      </text>
    </comment>
    <comment ref="N54" authorId="0">
      <text>
        <r>
          <rPr>
            <sz val="10"/>
            <rFont val="Arial"/>
            <family val="2"/>
          </rPr>
          <t xml:space="preserve">clean</t>
        </r>
      </text>
    </comment>
    <comment ref="N55" authorId="0">
      <text>
        <r>
          <rPr>
            <sz val="10"/>
            <rFont val="Arial"/>
            <family val="2"/>
          </rPr>
          <t xml:space="preserve">clean</t>
        </r>
      </text>
    </comment>
    <comment ref="N56" authorId="0">
      <text>
        <r>
          <rPr>
            <sz val="10"/>
            <rFont val="Arial"/>
            <family val="2"/>
          </rPr>
          <t xml:space="preserve">clean</t>
        </r>
      </text>
    </comment>
    <comment ref="N57" authorId="0">
      <text>
        <r>
          <rPr>
            <sz val="10"/>
            <rFont val="Arial"/>
            <family val="2"/>
          </rPr>
          <t xml:space="preserve">clean</t>
        </r>
      </text>
    </comment>
    <comment ref="N58" authorId="0">
      <text>
        <r>
          <rPr>
            <sz val="10"/>
            <rFont val="Arial"/>
            <family val="2"/>
          </rPr>
          <t xml:space="preserve">clean</t>
        </r>
      </text>
    </comment>
    <comment ref="N59" authorId="0">
      <text>
        <r>
          <rPr>
            <sz val="10"/>
            <rFont val="Arial"/>
            <family val="2"/>
          </rPr>
          <t xml:space="preserve">clean</t>
        </r>
      </text>
    </comment>
    <comment ref="N60" authorId="0">
      <text>
        <r>
          <rPr>
            <sz val="10"/>
            <rFont val="Arial"/>
            <family val="2"/>
          </rPr>
          <t xml:space="preserve">clean</t>
        </r>
      </text>
    </comment>
    <comment ref="N61" authorId="0">
      <text>
        <r>
          <rPr>
            <sz val="10"/>
            <rFont val="Arial"/>
            <family val="2"/>
          </rPr>
          <t xml:space="preserve">clean</t>
        </r>
      </text>
    </comment>
    <comment ref="N62" authorId="0">
      <text>
        <r>
          <rPr>
            <sz val="10"/>
            <rFont val="Arial"/>
            <family val="2"/>
          </rPr>
          <t xml:space="preserve">clean</t>
        </r>
      </text>
    </comment>
    <comment ref="N63" authorId="0">
      <text>
        <r>
          <rPr>
            <sz val="10"/>
            <rFont val="Arial"/>
            <family val="2"/>
          </rPr>
          <t xml:space="preserve">clean</t>
        </r>
      </text>
    </comment>
    <comment ref="N64" authorId="0">
      <text>
        <r>
          <rPr>
            <sz val="10"/>
            <rFont val="Arial"/>
            <family val="2"/>
          </rPr>
          <t xml:space="preserve">clean</t>
        </r>
      </text>
    </comment>
    <comment ref="N65" authorId="0">
      <text>
        <r>
          <rPr>
            <sz val="10"/>
            <rFont val="Arial"/>
            <family val="2"/>
          </rPr>
          <t xml:space="preserve">clean</t>
        </r>
      </text>
    </comment>
    <comment ref="N66" authorId="0">
      <text>
        <r>
          <rPr>
            <sz val="10"/>
            <rFont val="Arial"/>
            <family val="2"/>
          </rPr>
          <t xml:space="preserve">clean</t>
        </r>
      </text>
    </comment>
    <comment ref="N67" authorId="0">
      <text>
        <r>
          <rPr>
            <sz val="10"/>
            <rFont val="Arial"/>
            <family val="2"/>
          </rPr>
          <t xml:space="preserve">clean</t>
        </r>
      </text>
    </comment>
    <comment ref="N68" authorId="0">
      <text>
        <r>
          <rPr>
            <sz val="10"/>
            <rFont val="Arial"/>
            <family val="2"/>
          </rPr>
          <t xml:space="preserve">clean</t>
        </r>
      </text>
    </comment>
    <comment ref="N69" authorId="0">
      <text>
        <r>
          <rPr>
            <sz val="10"/>
            <rFont val="Arial"/>
            <family val="2"/>
          </rPr>
          <t xml:space="preserve">clean</t>
        </r>
      </text>
    </comment>
    <comment ref="N70" authorId="0">
      <text>
        <r>
          <rPr>
            <sz val="10"/>
            <rFont val="Arial"/>
            <family val="2"/>
          </rPr>
          <t xml:space="preserve">clean</t>
        </r>
      </text>
    </comment>
    <comment ref="N71" authorId="0">
      <text>
        <r>
          <rPr>
            <sz val="10"/>
            <rFont val="Arial"/>
            <family val="2"/>
          </rPr>
          <t xml:space="preserve">clean</t>
        </r>
      </text>
    </comment>
    <comment ref="N72" authorId="0">
      <text>
        <r>
          <rPr>
            <sz val="10"/>
            <rFont val="Arial"/>
            <family val="2"/>
          </rPr>
          <t xml:space="preserve">clean</t>
        </r>
      </text>
    </comment>
    <comment ref="N73" authorId="0">
      <text>
        <r>
          <rPr>
            <sz val="10"/>
            <rFont val="Arial"/>
            <family val="2"/>
          </rPr>
          <t xml:space="preserve">clean</t>
        </r>
      </text>
    </comment>
    <comment ref="N74" authorId="0">
      <text>
        <r>
          <rPr>
            <sz val="10"/>
            <rFont val="Arial"/>
            <family val="2"/>
          </rPr>
          <t xml:space="preserve">clean</t>
        </r>
      </text>
    </comment>
    <comment ref="N75" authorId="0">
      <text>
        <r>
          <rPr>
            <sz val="10"/>
            <rFont val="Arial"/>
            <family val="2"/>
          </rPr>
          <t xml:space="preserve">clean</t>
        </r>
      </text>
    </comment>
    <comment ref="N76" authorId="0">
      <text>
        <r>
          <rPr>
            <sz val="10"/>
            <rFont val="Arial"/>
            <family val="2"/>
          </rPr>
          <t xml:space="preserve">clean</t>
        </r>
      </text>
    </comment>
    <comment ref="N77" authorId="0">
      <text>
        <r>
          <rPr>
            <sz val="10"/>
            <rFont val="Arial"/>
            <family val="2"/>
          </rPr>
          <t xml:space="preserve">clean</t>
        </r>
      </text>
    </comment>
    <comment ref="N78" authorId="0">
      <text>
        <r>
          <rPr>
            <sz val="10"/>
            <rFont val="Arial"/>
            <family val="2"/>
          </rPr>
          <t xml:space="preserve">clean</t>
        </r>
      </text>
    </comment>
    <comment ref="N79" authorId="0">
      <text>
        <r>
          <rPr>
            <sz val="10"/>
            <rFont val="Arial"/>
            <family val="2"/>
          </rPr>
          <t xml:space="preserve">clean</t>
        </r>
      </text>
    </comment>
    <comment ref="N80" authorId="0">
      <text>
        <r>
          <rPr>
            <sz val="10"/>
            <rFont val="Arial"/>
            <family val="2"/>
          </rPr>
          <t xml:space="preserve">clean</t>
        </r>
      </text>
    </comment>
    <comment ref="N81" authorId="0">
      <text>
        <r>
          <rPr>
            <sz val="10"/>
            <rFont val="Arial"/>
            <family val="2"/>
          </rPr>
          <t xml:space="preserve">clean</t>
        </r>
      </text>
    </comment>
    <comment ref="N82" authorId="0">
      <text>
        <r>
          <rPr>
            <sz val="10"/>
            <rFont val="Arial"/>
            <family val="2"/>
          </rPr>
          <t xml:space="preserve">clean</t>
        </r>
      </text>
    </comment>
    <comment ref="N83" authorId="0">
      <text>
        <r>
          <rPr>
            <sz val="10"/>
            <rFont val="Arial"/>
            <family val="2"/>
          </rPr>
          <t xml:space="preserve">clean</t>
        </r>
      </text>
    </comment>
    <comment ref="N84" authorId="0">
      <text>
        <r>
          <rPr>
            <sz val="10"/>
            <rFont val="Arial"/>
            <family val="2"/>
          </rPr>
          <t xml:space="preserve">clean</t>
        </r>
      </text>
    </comment>
    <comment ref="N85" authorId="0">
      <text>
        <r>
          <rPr>
            <sz val="10"/>
            <rFont val="Arial"/>
            <family val="2"/>
          </rPr>
          <t xml:space="preserve">clean</t>
        </r>
      </text>
    </comment>
    <comment ref="N86" authorId="0">
      <text>
        <r>
          <rPr>
            <sz val="10"/>
            <rFont val="Arial"/>
            <family val="2"/>
          </rPr>
          <t xml:space="preserve">clean</t>
        </r>
      </text>
    </comment>
    <comment ref="N87" authorId="0">
      <text>
        <r>
          <rPr>
            <sz val="10"/>
            <rFont val="Arial"/>
            <family val="2"/>
          </rPr>
          <t xml:space="preserve">clean</t>
        </r>
      </text>
    </comment>
    <comment ref="N88" authorId="0">
      <text>
        <r>
          <rPr>
            <sz val="10"/>
            <rFont val="Arial"/>
            <family val="2"/>
          </rPr>
          <t xml:space="preserve">clean</t>
        </r>
      </text>
    </comment>
    <comment ref="N89" authorId="0">
      <text>
        <r>
          <rPr>
            <sz val="10"/>
            <rFont val="Arial"/>
            <family val="2"/>
          </rPr>
          <t xml:space="preserve">clean</t>
        </r>
      </text>
    </comment>
    <comment ref="N90" authorId="0">
      <text>
        <r>
          <rPr>
            <sz val="10"/>
            <rFont val="Arial"/>
            <family val="2"/>
          </rPr>
          <t xml:space="preserve">clean</t>
        </r>
      </text>
    </comment>
    <comment ref="N91" authorId="0">
      <text>
        <r>
          <rPr>
            <sz val="10"/>
            <rFont val="Arial"/>
            <family val="2"/>
          </rPr>
          <t xml:space="preserve">clean</t>
        </r>
      </text>
    </comment>
    <comment ref="O2" authorId="0">
      <text>
        <r>
          <rPr>
            <sz val="10"/>
            <rFont val="Arial"/>
            <family val="2"/>
          </rPr>
          <t xml:space="preserve">present</t>
        </r>
      </text>
    </comment>
    <comment ref="O3" authorId="0">
      <text>
        <r>
          <rPr>
            <sz val="10"/>
            <rFont val="Arial"/>
            <family val="2"/>
          </rPr>
          <t xml:space="preserve">present</t>
        </r>
      </text>
    </comment>
    <comment ref="O4" authorId="0">
      <text>
        <r>
          <rPr>
            <sz val="10"/>
            <rFont val="Arial"/>
            <family val="2"/>
          </rPr>
          <t xml:space="preserve">present</t>
        </r>
      </text>
    </comment>
    <comment ref="O5" authorId="0">
      <text>
        <r>
          <rPr>
            <sz val="10"/>
            <rFont val="Arial"/>
            <family val="2"/>
          </rPr>
          <t xml:space="preserve">present</t>
        </r>
      </text>
    </comment>
    <comment ref="O6" authorId="0">
      <text>
        <r>
          <rPr>
            <sz val="10"/>
            <rFont val="Arial"/>
            <family val="2"/>
          </rPr>
          <t xml:space="preserve">present</t>
        </r>
      </text>
    </comment>
    <comment ref="O7" authorId="0">
      <text>
        <r>
          <rPr>
            <sz val="10"/>
            <rFont val="Arial"/>
            <family val="2"/>
          </rPr>
          <t xml:space="preserve">present</t>
        </r>
      </text>
    </comment>
    <comment ref="O8" authorId="0">
      <text>
        <r>
          <rPr>
            <sz val="10"/>
            <rFont val="Arial"/>
            <family val="2"/>
          </rPr>
          <t xml:space="preserve">present</t>
        </r>
      </text>
    </comment>
    <comment ref="O9" authorId="0">
      <text>
        <r>
          <rPr>
            <sz val="10"/>
            <rFont val="Arial"/>
            <family val="2"/>
          </rPr>
          <t xml:space="preserve">present</t>
        </r>
      </text>
    </comment>
    <comment ref="O10" authorId="0">
      <text>
        <r>
          <rPr>
            <sz val="10"/>
            <rFont val="Arial"/>
            <family val="2"/>
          </rPr>
          <t xml:space="preserve">present</t>
        </r>
      </text>
    </comment>
    <comment ref="O11" authorId="0">
      <text>
        <r>
          <rPr>
            <sz val="10"/>
            <rFont val="Arial"/>
            <family val="2"/>
          </rPr>
          <t xml:space="preserve">present</t>
        </r>
      </text>
    </comment>
    <comment ref="O12" authorId="0">
      <text>
        <r>
          <rPr>
            <sz val="10"/>
            <rFont val="Arial"/>
            <family val="2"/>
          </rPr>
          <t xml:space="preserve">present</t>
        </r>
      </text>
    </comment>
    <comment ref="O13" authorId="0">
      <text>
        <r>
          <rPr>
            <sz val="10"/>
            <rFont val="Arial"/>
            <family val="2"/>
          </rPr>
          <t xml:space="preserve">present</t>
        </r>
      </text>
    </comment>
    <comment ref="O14" authorId="0">
      <text>
        <r>
          <rPr>
            <sz val="10"/>
            <rFont val="Arial"/>
            <family val="2"/>
          </rPr>
          <t xml:space="preserve">present</t>
        </r>
      </text>
    </comment>
    <comment ref="O15" authorId="0">
      <text>
        <r>
          <rPr>
            <sz val="10"/>
            <rFont val="Arial"/>
            <family val="2"/>
          </rPr>
          <t xml:space="preserve">present</t>
        </r>
      </text>
    </comment>
    <comment ref="O16" authorId="0">
      <text>
        <r>
          <rPr>
            <sz val="10"/>
            <rFont val="Arial"/>
            <family val="2"/>
          </rPr>
          <t xml:space="preserve">present</t>
        </r>
      </text>
    </comment>
    <comment ref="O17" authorId="0">
      <text>
        <r>
          <rPr>
            <sz val="10"/>
            <rFont val="Arial"/>
            <family val="2"/>
          </rPr>
          <t xml:space="preserve">present</t>
        </r>
      </text>
    </comment>
    <comment ref="O18" authorId="0">
      <text>
        <r>
          <rPr>
            <sz val="10"/>
            <rFont val="Arial"/>
            <family val="2"/>
          </rPr>
          <t xml:space="preserve">present</t>
        </r>
      </text>
    </comment>
    <comment ref="O19" authorId="0">
      <text>
        <r>
          <rPr>
            <sz val="10"/>
            <rFont val="Arial"/>
            <family val="2"/>
          </rPr>
          <t xml:space="preserve">present</t>
        </r>
      </text>
    </comment>
    <comment ref="O20" authorId="0">
      <text>
        <r>
          <rPr>
            <sz val="10"/>
            <rFont val="Arial"/>
            <family val="2"/>
          </rPr>
          <t xml:space="preserve">present</t>
        </r>
      </text>
    </comment>
    <comment ref="O21" authorId="0">
      <text>
        <r>
          <rPr>
            <sz val="10"/>
            <rFont val="Arial"/>
            <family val="2"/>
          </rPr>
          <t xml:space="preserve">present</t>
        </r>
      </text>
    </comment>
    <comment ref="O22" authorId="0">
      <text>
        <r>
          <rPr>
            <sz val="10"/>
            <rFont val="Arial"/>
            <family val="2"/>
          </rPr>
          <t xml:space="preserve">present</t>
        </r>
      </text>
    </comment>
    <comment ref="O23" authorId="0">
      <text>
        <r>
          <rPr>
            <sz val="10"/>
            <rFont val="Arial"/>
            <family val="2"/>
          </rPr>
          <t xml:space="preserve">present</t>
        </r>
      </text>
    </comment>
    <comment ref="O24" authorId="0">
      <text>
        <r>
          <rPr>
            <sz val="10"/>
            <rFont val="Arial"/>
            <family val="2"/>
          </rPr>
          <t xml:space="preserve">present</t>
        </r>
      </text>
    </comment>
    <comment ref="O25" authorId="0">
      <text>
        <r>
          <rPr>
            <sz val="10"/>
            <rFont val="Arial"/>
            <family val="2"/>
          </rPr>
          <t xml:space="preserve">present</t>
        </r>
      </text>
    </comment>
    <comment ref="O26" authorId="0">
      <text>
        <r>
          <rPr>
            <sz val="10"/>
            <rFont val="Arial"/>
            <family val="2"/>
          </rPr>
          <t xml:space="preserve">present</t>
        </r>
      </text>
    </comment>
    <comment ref="O27" authorId="0">
      <text>
        <r>
          <rPr>
            <sz val="10"/>
            <rFont val="Arial"/>
            <family val="2"/>
          </rPr>
          <t xml:space="preserve">present</t>
        </r>
      </text>
    </comment>
    <comment ref="O28" authorId="0">
      <text>
        <r>
          <rPr>
            <sz val="10"/>
            <rFont val="Arial"/>
            <family val="2"/>
          </rPr>
          <t xml:space="preserve">present</t>
        </r>
      </text>
    </comment>
    <comment ref="O29" authorId="0">
      <text>
        <r>
          <rPr>
            <sz val="10"/>
            <rFont val="Arial"/>
            <family val="2"/>
          </rPr>
          <t xml:space="preserve">present</t>
        </r>
      </text>
    </comment>
    <comment ref="O30" authorId="0">
      <text>
        <r>
          <rPr>
            <sz val="10"/>
            <rFont val="Arial"/>
            <family val="2"/>
          </rPr>
          <t xml:space="preserve">present</t>
        </r>
      </text>
    </comment>
    <comment ref="O31" authorId="0">
      <text>
        <r>
          <rPr>
            <sz val="10"/>
            <rFont val="Arial"/>
            <family val="2"/>
          </rPr>
          <t xml:space="preserve">present</t>
        </r>
      </text>
    </comment>
    <comment ref="O32" authorId="0">
      <text>
        <r>
          <rPr>
            <sz val="10"/>
            <rFont val="Arial"/>
            <family val="2"/>
          </rPr>
          <t xml:space="preserve">present</t>
        </r>
      </text>
    </comment>
    <comment ref="O33" authorId="0">
      <text>
        <r>
          <rPr>
            <sz val="10"/>
            <rFont val="Arial"/>
            <family val="2"/>
          </rPr>
          <t xml:space="preserve">present</t>
        </r>
      </text>
    </comment>
    <comment ref="O34" authorId="0">
      <text>
        <r>
          <rPr>
            <sz val="10"/>
            <rFont val="Arial"/>
            <family val="2"/>
          </rPr>
          <t xml:space="preserve">present</t>
        </r>
      </text>
    </comment>
    <comment ref="O35" authorId="0">
      <text>
        <r>
          <rPr>
            <sz val="10"/>
            <rFont val="Arial"/>
            <family val="2"/>
          </rPr>
          <t xml:space="preserve">present</t>
        </r>
      </text>
    </comment>
    <comment ref="O36" authorId="0">
      <text>
        <r>
          <rPr>
            <sz val="10"/>
            <rFont val="Arial"/>
            <family val="2"/>
          </rPr>
          <t xml:space="preserve">present</t>
        </r>
      </text>
    </comment>
    <comment ref="O37" authorId="0">
      <text>
        <r>
          <rPr>
            <sz val="10"/>
            <rFont val="Arial"/>
            <family val="2"/>
          </rPr>
          <t xml:space="preserve">present</t>
        </r>
      </text>
    </comment>
    <comment ref="O38" authorId="0">
      <text>
        <r>
          <rPr>
            <sz val="10"/>
            <rFont val="Arial"/>
            <family val="2"/>
          </rPr>
          <t xml:space="preserve">present</t>
        </r>
      </text>
    </comment>
    <comment ref="O39" authorId="0">
      <text>
        <r>
          <rPr>
            <sz val="10"/>
            <rFont val="Arial"/>
            <family val="2"/>
          </rPr>
          <t xml:space="preserve">present</t>
        </r>
      </text>
    </comment>
    <comment ref="O40" authorId="0">
      <text>
        <r>
          <rPr>
            <sz val="10"/>
            <rFont val="Arial"/>
            <family val="2"/>
          </rPr>
          <t xml:space="preserve">present</t>
        </r>
      </text>
    </comment>
    <comment ref="O41" authorId="0">
      <text>
        <r>
          <rPr>
            <sz val="10"/>
            <rFont val="Arial"/>
            <family val="2"/>
          </rPr>
          <t xml:space="preserve">present</t>
        </r>
      </text>
    </comment>
    <comment ref="O42" authorId="0">
      <text>
        <r>
          <rPr>
            <sz val="10"/>
            <rFont val="Arial"/>
            <family val="2"/>
          </rPr>
          <t xml:space="preserve">present</t>
        </r>
      </text>
    </comment>
    <comment ref="O43" authorId="0">
      <text>
        <r>
          <rPr>
            <sz val="10"/>
            <rFont val="Arial"/>
            <family val="2"/>
          </rPr>
          <t xml:space="preserve">present</t>
        </r>
      </text>
    </comment>
    <comment ref="O44" authorId="0">
      <text>
        <r>
          <rPr>
            <sz val="10"/>
            <rFont val="Arial"/>
            <family val="2"/>
          </rPr>
          <t xml:space="preserve">present</t>
        </r>
      </text>
    </comment>
    <comment ref="O45" authorId="0">
      <text>
        <r>
          <rPr>
            <sz val="10"/>
            <rFont val="Arial"/>
            <family val="2"/>
          </rPr>
          <t xml:space="preserve">present</t>
        </r>
      </text>
    </comment>
    <comment ref="O46" authorId="0">
      <text>
        <r>
          <rPr>
            <sz val="10"/>
            <rFont val="Arial"/>
            <family val="2"/>
          </rPr>
          <t xml:space="preserve">present</t>
        </r>
      </text>
    </comment>
    <comment ref="O47" authorId="0">
      <text>
        <r>
          <rPr>
            <sz val="10"/>
            <rFont val="Arial"/>
            <family val="2"/>
          </rPr>
          <t xml:space="preserve">present</t>
        </r>
      </text>
    </comment>
    <comment ref="O48" authorId="0">
      <text>
        <r>
          <rPr>
            <sz val="10"/>
            <rFont val="Arial"/>
            <family val="2"/>
          </rPr>
          <t xml:space="preserve">present</t>
        </r>
      </text>
    </comment>
    <comment ref="O49" authorId="0">
      <text>
        <r>
          <rPr>
            <sz val="10"/>
            <rFont val="Arial"/>
            <family val="2"/>
          </rPr>
          <t xml:space="preserve">present</t>
        </r>
      </text>
    </comment>
    <comment ref="O50" authorId="0">
      <text>
        <r>
          <rPr>
            <sz val="10"/>
            <rFont val="Arial"/>
            <family val="2"/>
          </rPr>
          <t xml:space="preserve">present</t>
        </r>
      </text>
    </comment>
    <comment ref="O51" authorId="0">
      <text>
        <r>
          <rPr>
            <sz val="10"/>
            <rFont val="Arial"/>
            <family val="2"/>
          </rPr>
          <t xml:space="preserve">present</t>
        </r>
      </text>
    </comment>
    <comment ref="O52" authorId="0">
      <text>
        <r>
          <rPr>
            <sz val="10"/>
            <rFont val="Arial"/>
            <family val="2"/>
          </rPr>
          <t xml:space="preserve">present</t>
        </r>
      </text>
    </comment>
    <comment ref="O53" authorId="0">
      <text>
        <r>
          <rPr>
            <sz val="10"/>
            <rFont val="Arial"/>
            <family val="2"/>
          </rPr>
          <t xml:space="preserve">present</t>
        </r>
      </text>
    </comment>
    <comment ref="O54" authorId="0">
      <text>
        <r>
          <rPr>
            <sz val="10"/>
            <rFont val="Arial"/>
            <family val="2"/>
          </rPr>
          <t xml:space="preserve">present</t>
        </r>
      </text>
    </comment>
    <comment ref="O55" authorId="0">
      <text>
        <r>
          <rPr>
            <sz val="10"/>
            <rFont val="Arial"/>
            <family val="2"/>
          </rPr>
          <t xml:space="preserve">present</t>
        </r>
      </text>
    </comment>
    <comment ref="O56" authorId="0">
      <text>
        <r>
          <rPr>
            <sz val="10"/>
            <rFont val="Arial"/>
            <family val="2"/>
          </rPr>
          <t xml:space="preserve">present</t>
        </r>
      </text>
    </comment>
    <comment ref="O57" authorId="0">
      <text>
        <r>
          <rPr>
            <sz val="10"/>
            <rFont val="Arial"/>
            <family val="2"/>
          </rPr>
          <t xml:space="preserve">present</t>
        </r>
      </text>
    </comment>
    <comment ref="O58" authorId="0">
      <text>
        <r>
          <rPr>
            <sz val="10"/>
            <rFont val="Arial"/>
            <family val="2"/>
          </rPr>
          <t xml:space="preserve">present</t>
        </r>
      </text>
    </comment>
    <comment ref="O59" authorId="0">
      <text>
        <r>
          <rPr>
            <sz val="10"/>
            <rFont val="Arial"/>
            <family val="2"/>
          </rPr>
          <t xml:space="preserve">present</t>
        </r>
      </text>
    </comment>
    <comment ref="O60" authorId="0">
      <text>
        <r>
          <rPr>
            <sz val="10"/>
            <rFont val="Arial"/>
            <family val="2"/>
          </rPr>
          <t xml:space="preserve">present</t>
        </r>
      </text>
    </comment>
    <comment ref="O61" authorId="0">
      <text>
        <r>
          <rPr>
            <sz val="10"/>
            <rFont val="Arial"/>
            <family val="2"/>
          </rPr>
          <t xml:space="preserve">present</t>
        </r>
      </text>
    </comment>
    <comment ref="O62" authorId="0">
      <text>
        <r>
          <rPr>
            <sz val="10"/>
            <rFont val="Arial"/>
            <family val="2"/>
          </rPr>
          <t xml:space="preserve">present</t>
        </r>
      </text>
    </comment>
    <comment ref="O63" authorId="0">
      <text>
        <r>
          <rPr>
            <sz val="10"/>
            <rFont val="Arial"/>
            <family val="2"/>
          </rPr>
          <t xml:space="preserve">present</t>
        </r>
      </text>
    </comment>
    <comment ref="O64" authorId="0">
      <text>
        <r>
          <rPr>
            <sz val="10"/>
            <rFont val="Arial"/>
            <family val="2"/>
          </rPr>
          <t xml:space="preserve">present</t>
        </r>
      </text>
    </comment>
    <comment ref="O65" authorId="0">
      <text>
        <r>
          <rPr>
            <sz val="10"/>
            <rFont val="Arial"/>
            <family val="2"/>
          </rPr>
          <t xml:space="preserve">present</t>
        </r>
      </text>
    </comment>
    <comment ref="O66" authorId="0">
      <text>
        <r>
          <rPr>
            <sz val="10"/>
            <rFont val="Arial"/>
            <family val="2"/>
          </rPr>
          <t xml:space="preserve">present</t>
        </r>
      </text>
    </comment>
    <comment ref="O67" authorId="0">
      <text>
        <r>
          <rPr>
            <sz val="10"/>
            <rFont val="Arial"/>
            <family val="2"/>
          </rPr>
          <t xml:space="preserve">present</t>
        </r>
      </text>
    </comment>
    <comment ref="O68" authorId="0">
      <text>
        <r>
          <rPr>
            <sz val="10"/>
            <rFont val="Arial"/>
            <family val="2"/>
          </rPr>
          <t xml:space="preserve">present</t>
        </r>
      </text>
    </comment>
    <comment ref="O69" authorId="0">
      <text>
        <r>
          <rPr>
            <sz val="10"/>
            <rFont val="Arial"/>
            <family val="2"/>
          </rPr>
          <t xml:space="preserve">present</t>
        </r>
      </text>
    </comment>
    <comment ref="O70" authorId="0">
      <text>
        <r>
          <rPr>
            <sz val="10"/>
            <rFont val="Arial"/>
            <family val="2"/>
          </rPr>
          <t xml:space="preserve">present</t>
        </r>
      </text>
    </comment>
    <comment ref="O71" authorId="0">
      <text>
        <r>
          <rPr>
            <sz val="10"/>
            <rFont val="Arial"/>
            <family val="2"/>
          </rPr>
          <t xml:space="preserve">present</t>
        </r>
      </text>
    </comment>
    <comment ref="O72" authorId="0">
      <text>
        <r>
          <rPr>
            <sz val="10"/>
            <rFont val="Arial"/>
            <family val="2"/>
          </rPr>
          <t xml:space="preserve">present</t>
        </r>
      </text>
    </comment>
    <comment ref="O73" authorId="0">
      <text>
        <r>
          <rPr>
            <sz val="10"/>
            <rFont val="Arial"/>
            <family val="2"/>
          </rPr>
          <t xml:space="preserve">present</t>
        </r>
      </text>
    </comment>
    <comment ref="O74" authorId="0">
      <text>
        <r>
          <rPr>
            <sz val="10"/>
            <rFont val="Arial"/>
            <family val="2"/>
          </rPr>
          <t xml:space="preserve">present</t>
        </r>
      </text>
    </comment>
    <comment ref="O75" authorId="0">
      <text>
        <r>
          <rPr>
            <sz val="10"/>
            <rFont val="Arial"/>
            <family val="2"/>
          </rPr>
          <t xml:space="preserve">present</t>
        </r>
      </text>
    </comment>
    <comment ref="O76" authorId="0">
      <text>
        <r>
          <rPr>
            <sz val="10"/>
            <rFont val="Arial"/>
            <family val="2"/>
          </rPr>
          <t xml:space="preserve">present</t>
        </r>
      </text>
    </comment>
    <comment ref="O77" authorId="0">
      <text>
        <r>
          <rPr>
            <sz val="10"/>
            <rFont val="Arial"/>
            <family val="2"/>
          </rPr>
          <t xml:space="preserve">present</t>
        </r>
      </text>
    </comment>
    <comment ref="O78" authorId="0">
      <text>
        <r>
          <rPr>
            <sz val="10"/>
            <rFont val="Arial"/>
            <family val="2"/>
          </rPr>
          <t xml:space="preserve">present</t>
        </r>
      </text>
    </comment>
    <comment ref="O79" authorId="0">
      <text>
        <r>
          <rPr>
            <sz val="10"/>
            <rFont val="Arial"/>
            <family val="2"/>
          </rPr>
          <t xml:space="preserve">present</t>
        </r>
      </text>
    </comment>
    <comment ref="O80" authorId="0">
      <text>
        <r>
          <rPr>
            <sz val="10"/>
            <rFont val="Arial"/>
            <family val="2"/>
          </rPr>
          <t xml:space="preserve">present</t>
        </r>
      </text>
    </comment>
    <comment ref="O81" authorId="0">
      <text>
        <r>
          <rPr>
            <sz val="10"/>
            <rFont val="Arial"/>
            <family val="2"/>
          </rPr>
          <t xml:space="preserve">present</t>
        </r>
      </text>
    </comment>
    <comment ref="O82" authorId="0">
      <text>
        <r>
          <rPr>
            <sz val="10"/>
            <rFont val="Arial"/>
            <family val="2"/>
          </rPr>
          <t xml:space="preserve">present</t>
        </r>
      </text>
    </comment>
    <comment ref="O83" authorId="0">
      <text>
        <r>
          <rPr>
            <sz val="10"/>
            <rFont val="Arial"/>
            <family val="2"/>
          </rPr>
          <t xml:space="preserve">present</t>
        </r>
      </text>
    </comment>
    <comment ref="O84" authorId="0">
      <text>
        <r>
          <rPr>
            <sz val="10"/>
            <rFont val="Arial"/>
            <family val="2"/>
          </rPr>
          <t xml:space="preserve">present</t>
        </r>
      </text>
    </comment>
    <comment ref="O85" authorId="0">
      <text>
        <r>
          <rPr>
            <sz val="10"/>
            <rFont val="Arial"/>
            <family val="2"/>
          </rPr>
          <t xml:space="preserve">present</t>
        </r>
      </text>
    </comment>
    <comment ref="O86" authorId="0">
      <text>
        <r>
          <rPr>
            <sz val="10"/>
            <rFont val="Arial"/>
            <family val="2"/>
          </rPr>
          <t xml:space="preserve">present</t>
        </r>
      </text>
    </comment>
    <comment ref="O87" authorId="0">
      <text>
        <r>
          <rPr>
            <sz val="10"/>
            <rFont val="Arial"/>
            <family val="2"/>
          </rPr>
          <t xml:space="preserve">present</t>
        </r>
      </text>
    </comment>
    <comment ref="O88" authorId="0">
      <text>
        <r>
          <rPr>
            <sz val="10"/>
            <rFont val="Arial"/>
            <family val="2"/>
          </rPr>
          <t xml:space="preserve">present</t>
        </r>
      </text>
    </comment>
    <comment ref="O89" authorId="0">
      <text>
        <r>
          <rPr>
            <sz val="10"/>
            <rFont val="Arial"/>
            <family val="2"/>
          </rPr>
          <t xml:space="preserve">present</t>
        </r>
      </text>
    </comment>
    <comment ref="O90" authorId="0">
      <text>
        <r>
          <rPr>
            <sz val="10"/>
            <rFont val="Arial"/>
            <family val="2"/>
          </rPr>
          <t xml:space="preserve">present</t>
        </r>
      </text>
    </comment>
    <comment ref="O91" authorId="0">
      <text>
        <r>
          <rPr>
            <sz val="10"/>
            <rFont val="Arial"/>
            <family val="2"/>
          </rPr>
          <t xml:space="preserve">present</t>
        </r>
      </text>
    </comment>
    <comment ref="P2" authorId="0">
      <text>
        <r>
          <rPr>
            <sz val="10"/>
            <rFont val="Arial"/>
            <family val="2"/>
          </rPr>
          <t xml:space="preserve">7 distinct internal links; unknown: []</t>
        </r>
      </text>
    </comment>
    <comment ref="P3" authorId="0">
      <text>
        <r>
          <rPr>
            <sz val="10"/>
            <rFont val="Arial"/>
            <family val="2"/>
          </rPr>
          <t xml:space="preserve">6 distinct internal links; unknown: []</t>
        </r>
      </text>
    </comment>
    <comment ref="P4" authorId="0">
      <text>
        <r>
          <rPr>
            <sz val="10"/>
            <rFont val="Arial"/>
            <family val="2"/>
          </rPr>
          <t xml:space="preserve">5 distinct internal links; unknown: []</t>
        </r>
      </text>
    </comment>
    <comment ref="P5" authorId="0">
      <text>
        <r>
          <rPr>
            <sz val="10"/>
            <rFont val="Arial"/>
            <family val="2"/>
          </rPr>
          <t xml:space="preserve">5 distinct internal links; unknown: []</t>
        </r>
      </text>
    </comment>
    <comment ref="P6" authorId="0">
      <text>
        <r>
          <rPr>
            <sz val="10"/>
            <rFont val="Arial"/>
            <family val="2"/>
          </rPr>
          <t xml:space="preserve">6 distinct internal links; unknown: []</t>
        </r>
      </text>
    </comment>
    <comment ref="P7" authorId="0">
      <text>
        <r>
          <rPr>
            <sz val="10"/>
            <rFont val="Arial"/>
            <family val="2"/>
          </rPr>
          <t xml:space="preserve">8 distinct internal links; unknown: []</t>
        </r>
      </text>
    </comment>
    <comment ref="P8" authorId="0">
      <text>
        <r>
          <rPr>
            <sz val="10"/>
            <rFont val="Arial"/>
            <family val="2"/>
          </rPr>
          <t xml:space="preserve">57 distinct internal links; unknown: []</t>
        </r>
      </text>
    </comment>
    <comment ref="P9" authorId="0">
      <text>
        <r>
          <rPr>
            <sz val="10"/>
            <rFont val="Arial"/>
            <family val="2"/>
          </rPr>
          <t xml:space="preserve">5 distinct internal links; unknown: []</t>
        </r>
      </text>
    </comment>
    <comment ref="P10" authorId="0">
      <text>
        <r>
          <rPr>
            <sz val="10"/>
            <rFont val="Arial"/>
            <family val="2"/>
          </rPr>
          <t xml:space="preserve">6 distinct internal links; unknown: []</t>
        </r>
      </text>
    </comment>
    <comment ref="P11" authorId="0">
      <text>
        <r>
          <rPr>
            <sz val="10"/>
            <rFont val="Arial"/>
            <family val="2"/>
          </rPr>
          <t xml:space="preserve">6 distinct internal links; unknown: []</t>
        </r>
      </text>
    </comment>
    <comment ref="P12" authorId="0">
      <text>
        <r>
          <rPr>
            <sz val="10"/>
            <rFont val="Arial"/>
            <family val="2"/>
          </rPr>
          <t xml:space="preserve">4 distinct internal links; unknown: []</t>
        </r>
      </text>
    </comment>
    <comment ref="P13" authorId="0">
      <text>
        <r>
          <rPr>
            <sz val="10"/>
            <rFont val="Arial"/>
            <family val="2"/>
          </rPr>
          <t xml:space="preserve">6 distinct internal links; unknown: []</t>
        </r>
      </text>
    </comment>
    <comment ref="P14" authorId="0">
      <text>
        <r>
          <rPr>
            <sz val="10"/>
            <rFont val="Arial"/>
            <family val="2"/>
          </rPr>
          <t xml:space="preserve">5 distinct internal links; unknown: []</t>
        </r>
      </text>
    </comment>
    <comment ref="P15" authorId="0">
      <text>
        <r>
          <rPr>
            <sz val="10"/>
            <rFont val="Arial"/>
            <family val="2"/>
          </rPr>
          <t xml:space="preserve">6 distinct internal links; unknown: []</t>
        </r>
      </text>
    </comment>
    <comment ref="P16" authorId="0">
      <text>
        <r>
          <rPr>
            <sz val="10"/>
            <rFont val="Arial"/>
            <family val="2"/>
          </rPr>
          <t xml:space="preserve">7 distinct internal links; unknown: []</t>
        </r>
      </text>
    </comment>
    <comment ref="P17" authorId="0">
      <text>
        <r>
          <rPr>
            <sz val="10"/>
            <rFont val="Arial"/>
            <family val="2"/>
          </rPr>
          <t xml:space="preserve">6 distinct internal links; unknown: []</t>
        </r>
      </text>
    </comment>
    <comment ref="P18" authorId="0">
      <text>
        <r>
          <rPr>
            <sz val="10"/>
            <rFont val="Arial"/>
            <family val="2"/>
          </rPr>
          <t xml:space="preserve">4 distinct internal links; unknown: []</t>
        </r>
      </text>
    </comment>
    <comment ref="P19" authorId="0">
      <text>
        <r>
          <rPr>
            <sz val="10"/>
            <rFont val="Arial"/>
            <family val="2"/>
          </rPr>
          <t xml:space="preserve">4 distinct internal links; unknown: []</t>
        </r>
      </text>
    </comment>
    <comment ref="P20" authorId="0">
      <text>
        <r>
          <rPr>
            <sz val="10"/>
            <rFont val="Arial"/>
            <family val="2"/>
          </rPr>
          <t xml:space="preserve">4 distinct internal links; unknown: []</t>
        </r>
      </text>
    </comment>
    <comment ref="P21" authorId="0">
      <text>
        <r>
          <rPr>
            <sz val="10"/>
            <rFont val="Arial"/>
            <family val="2"/>
          </rPr>
          <t xml:space="preserve">7 distinct internal links; unknown: []</t>
        </r>
      </text>
    </comment>
    <comment ref="P22" authorId="0">
      <text>
        <r>
          <rPr>
            <sz val="10"/>
            <rFont val="Arial"/>
            <family val="2"/>
          </rPr>
          <t xml:space="preserve">7 distinct internal links; unknown: []</t>
        </r>
      </text>
    </comment>
    <comment ref="P23" authorId="0">
      <text>
        <r>
          <rPr>
            <sz val="10"/>
            <rFont val="Arial"/>
            <family val="2"/>
          </rPr>
          <t xml:space="preserve">7 distinct internal links; unknown: []</t>
        </r>
      </text>
    </comment>
    <comment ref="P24" authorId="0">
      <text>
        <r>
          <rPr>
            <sz val="10"/>
            <rFont val="Arial"/>
            <family val="2"/>
          </rPr>
          <t xml:space="preserve">7 distinct internal links; unknown: []</t>
        </r>
      </text>
    </comment>
    <comment ref="P25" authorId="0">
      <text>
        <r>
          <rPr>
            <sz val="10"/>
            <rFont val="Arial"/>
            <family val="2"/>
          </rPr>
          <t xml:space="preserve">7 distinct internal links; unknown: []</t>
        </r>
      </text>
    </comment>
    <comment ref="P26" authorId="0">
      <text>
        <r>
          <rPr>
            <sz val="10"/>
            <rFont val="Arial"/>
            <family val="2"/>
          </rPr>
          <t xml:space="preserve">6 distinct internal links; unknown: []</t>
        </r>
      </text>
    </comment>
    <comment ref="P27" authorId="0">
      <text>
        <r>
          <rPr>
            <sz val="10"/>
            <rFont val="Arial"/>
            <family val="2"/>
          </rPr>
          <t xml:space="preserve">6 distinct internal links; unknown: []</t>
        </r>
      </text>
    </comment>
    <comment ref="P28" authorId="0">
      <text>
        <r>
          <rPr>
            <sz val="10"/>
            <rFont val="Arial"/>
            <family val="2"/>
          </rPr>
          <t xml:space="preserve">6 distinct internal links; unknown: []</t>
        </r>
      </text>
    </comment>
    <comment ref="P29" authorId="0">
      <text>
        <r>
          <rPr>
            <sz val="10"/>
            <rFont val="Arial"/>
            <family val="2"/>
          </rPr>
          <t xml:space="preserve">5 distinct internal links; unknown: []</t>
        </r>
      </text>
    </comment>
    <comment ref="P30" authorId="0">
      <text>
        <r>
          <rPr>
            <sz val="10"/>
            <rFont val="Arial"/>
            <family val="2"/>
          </rPr>
          <t xml:space="preserve">6 distinct internal links; unknown: []</t>
        </r>
      </text>
    </comment>
    <comment ref="P31" authorId="0">
      <text>
        <r>
          <rPr>
            <sz val="10"/>
            <rFont val="Arial"/>
            <family val="2"/>
          </rPr>
          <t xml:space="preserve">6 distinct internal links; unknown: []</t>
        </r>
      </text>
    </comment>
    <comment ref="P32" authorId="0">
      <text>
        <r>
          <rPr>
            <sz val="10"/>
            <rFont val="Arial"/>
            <family val="2"/>
          </rPr>
          <t xml:space="preserve">5 distinct internal links; unknown: []</t>
        </r>
      </text>
    </comment>
    <comment ref="P33" authorId="0">
      <text>
        <r>
          <rPr>
            <sz val="10"/>
            <rFont val="Arial"/>
            <family val="2"/>
          </rPr>
          <t xml:space="preserve">7 distinct internal links; unknown: []</t>
        </r>
      </text>
    </comment>
    <comment ref="P34" authorId="0">
      <text>
        <r>
          <rPr>
            <sz val="10"/>
            <rFont val="Arial"/>
            <family val="2"/>
          </rPr>
          <t xml:space="preserve">7 distinct internal links; unknown: []</t>
        </r>
      </text>
    </comment>
    <comment ref="P35" authorId="0">
      <text>
        <r>
          <rPr>
            <sz val="10"/>
            <rFont val="Arial"/>
            <family val="2"/>
          </rPr>
          <t xml:space="preserve">8 distinct internal links; unknown: []</t>
        </r>
      </text>
    </comment>
    <comment ref="P36" authorId="0">
      <text>
        <r>
          <rPr>
            <sz val="10"/>
            <rFont val="Arial"/>
            <family val="2"/>
          </rPr>
          <t xml:space="preserve">6 distinct internal links; unknown: []</t>
        </r>
      </text>
    </comment>
    <comment ref="P37" authorId="0">
      <text>
        <r>
          <rPr>
            <sz val="10"/>
            <rFont val="Arial"/>
            <family val="2"/>
          </rPr>
          <t xml:space="preserve">7 distinct internal links; unknown: []</t>
        </r>
      </text>
    </comment>
    <comment ref="P38" authorId="0">
      <text>
        <r>
          <rPr>
            <sz val="10"/>
            <rFont val="Arial"/>
            <family val="2"/>
          </rPr>
          <t xml:space="preserve">7 distinct internal links; unknown: []</t>
        </r>
      </text>
    </comment>
    <comment ref="P39" authorId="0">
      <text>
        <r>
          <rPr>
            <sz val="10"/>
            <rFont val="Arial"/>
            <family val="2"/>
          </rPr>
          <t xml:space="preserve">7 distinct internal links; unknown: []</t>
        </r>
      </text>
    </comment>
    <comment ref="P40" authorId="0">
      <text>
        <r>
          <rPr>
            <sz val="10"/>
            <rFont val="Arial"/>
            <family val="2"/>
          </rPr>
          <t xml:space="preserve">6 distinct internal links; unknown: []</t>
        </r>
      </text>
    </comment>
    <comment ref="P41" authorId="0">
      <text>
        <r>
          <rPr>
            <sz val="10"/>
            <rFont val="Arial"/>
            <family val="2"/>
          </rPr>
          <t xml:space="preserve">5 distinct internal links; unknown: []</t>
        </r>
      </text>
    </comment>
    <comment ref="P42" authorId="0">
      <text>
        <r>
          <rPr>
            <sz val="10"/>
            <rFont val="Arial"/>
            <family val="2"/>
          </rPr>
          <t xml:space="preserve">7 distinct internal links; unknown: []</t>
        </r>
      </text>
    </comment>
    <comment ref="P43" authorId="0">
      <text>
        <r>
          <rPr>
            <sz val="10"/>
            <rFont val="Arial"/>
            <family val="2"/>
          </rPr>
          <t xml:space="preserve">7 distinct internal links; unknown: []</t>
        </r>
      </text>
    </comment>
    <comment ref="P44" authorId="0">
      <text>
        <r>
          <rPr>
            <sz val="10"/>
            <rFont val="Arial"/>
            <family val="2"/>
          </rPr>
          <t xml:space="preserve">5 distinct internal links; unknown: []</t>
        </r>
      </text>
    </comment>
    <comment ref="P45" authorId="0">
      <text>
        <r>
          <rPr>
            <sz val="10"/>
            <rFont val="Arial"/>
            <family val="2"/>
          </rPr>
          <t xml:space="preserve">8 distinct internal links; unknown: []</t>
        </r>
      </text>
    </comment>
    <comment ref="P46" authorId="0">
      <text>
        <r>
          <rPr>
            <sz val="10"/>
            <rFont val="Arial"/>
            <family val="2"/>
          </rPr>
          <t xml:space="preserve">7 distinct internal links; unknown: []</t>
        </r>
      </text>
    </comment>
    <comment ref="P47" authorId="0">
      <text>
        <r>
          <rPr>
            <sz val="10"/>
            <rFont val="Arial"/>
            <family val="2"/>
          </rPr>
          <t xml:space="preserve">7 distinct internal links; unknown: []</t>
        </r>
      </text>
    </comment>
    <comment ref="P48" authorId="0">
      <text>
        <r>
          <rPr>
            <sz val="10"/>
            <rFont val="Arial"/>
            <family val="2"/>
          </rPr>
          <t xml:space="preserve">7 distinct internal links; unknown: []</t>
        </r>
      </text>
    </comment>
    <comment ref="P49" authorId="0">
      <text>
        <r>
          <rPr>
            <sz val="10"/>
            <rFont val="Arial"/>
            <family val="2"/>
          </rPr>
          <t xml:space="preserve">5 distinct internal links; unknown: []</t>
        </r>
      </text>
    </comment>
    <comment ref="P50" authorId="0">
      <text>
        <r>
          <rPr>
            <sz val="10"/>
            <rFont val="Arial"/>
            <family val="2"/>
          </rPr>
          <t xml:space="preserve">6 distinct internal links; unknown: []</t>
        </r>
      </text>
    </comment>
    <comment ref="P51" authorId="0">
      <text>
        <r>
          <rPr>
            <sz val="10"/>
            <rFont val="Arial"/>
            <family val="2"/>
          </rPr>
          <t xml:space="preserve">6 distinct internal links; unknown: []</t>
        </r>
      </text>
    </comment>
    <comment ref="P52" authorId="0">
      <text>
        <r>
          <rPr>
            <sz val="10"/>
            <rFont val="Arial"/>
            <family val="2"/>
          </rPr>
          <t xml:space="preserve">7 distinct internal links; unknown: []</t>
        </r>
      </text>
    </comment>
    <comment ref="P53" authorId="0">
      <text>
        <r>
          <rPr>
            <sz val="10"/>
            <rFont val="Arial"/>
            <family val="2"/>
          </rPr>
          <t xml:space="preserve">7 distinct internal links; unknown: []</t>
        </r>
      </text>
    </comment>
    <comment ref="P54" authorId="0">
      <text>
        <r>
          <rPr>
            <sz val="10"/>
            <rFont val="Arial"/>
            <family val="2"/>
          </rPr>
          <t xml:space="preserve">7 distinct internal links; unknown: []</t>
        </r>
      </text>
    </comment>
    <comment ref="P55" authorId="0">
      <text>
        <r>
          <rPr>
            <sz val="10"/>
            <rFont val="Arial"/>
            <family val="2"/>
          </rPr>
          <t xml:space="preserve">7 distinct internal links; unknown: []</t>
        </r>
      </text>
    </comment>
    <comment ref="P56" authorId="0">
      <text>
        <r>
          <rPr>
            <sz val="10"/>
            <rFont val="Arial"/>
            <family val="2"/>
          </rPr>
          <t xml:space="preserve">7 distinct internal links; unknown: []</t>
        </r>
      </text>
    </comment>
    <comment ref="P57" authorId="0">
      <text>
        <r>
          <rPr>
            <sz val="10"/>
            <rFont val="Arial"/>
            <family val="2"/>
          </rPr>
          <t xml:space="preserve">7 distinct internal links; unknown: []</t>
        </r>
      </text>
    </comment>
    <comment ref="P58" authorId="0">
      <text>
        <r>
          <rPr>
            <sz val="10"/>
            <rFont val="Arial"/>
            <family val="2"/>
          </rPr>
          <t xml:space="preserve">6 distinct internal links; unknown: []</t>
        </r>
      </text>
    </comment>
    <comment ref="P59" authorId="0">
      <text>
        <r>
          <rPr>
            <sz val="10"/>
            <rFont val="Arial"/>
            <family val="2"/>
          </rPr>
          <t xml:space="preserve">6 distinct internal links; unknown: []</t>
        </r>
      </text>
    </comment>
    <comment ref="P60" authorId="0">
      <text>
        <r>
          <rPr>
            <sz val="10"/>
            <rFont val="Arial"/>
            <family val="2"/>
          </rPr>
          <t xml:space="preserve">8 distinct internal links; unknown: []</t>
        </r>
      </text>
    </comment>
    <comment ref="P61" authorId="0">
      <text>
        <r>
          <rPr>
            <sz val="10"/>
            <rFont val="Arial"/>
            <family val="2"/>
          </rPr>
          <t xml:space="preserve">8 distinct internal links; unknown: []</t>
        </r>
      </text>
    </comment>
    <comment ref="P62" authorId="0">
      <text>
        <r>
          <rPr>
            <sz val="10"/>
            <rFont val="Arial"/>
            <family val="2"/>
          </rPr>
          <t xml:space="preserve">6 distinct internal links; unknown: []</t>
        </r>
      </text>
    </comment>
    <comment ref="P63" authorId="0">
      <text>
        <r>
          <rPr>
            <sz val="10"/>
            <rFont val="Arial"/>
            <family val="2"/>
          </rPr>
          <t xml:space="preserve">7 distinct internal links; unknown: []</t>
        </r>
      </text>
    </comment>
    <comment ref="P64" authorId="0">
      <text>
        <r>
          <rPr>
            <sz val="10"/>
            <rFont val="Arial"/>
            <family val="2"/>
          </rPr>
          <t xml:space="preserve">7 distinct internal links; unknown: []</t>
        </r>
      </text>
    </comment>
    <comment ref="P65" authorId="0">
      <text>
        <r>
          <rPr>
            <sz val="10"/>
            <rFont val="Arial"/>
            <family val="2"/>
          </rPr>
          <t xml:space="preserve">7 distinct internal links; unknown: []</t>
        </r>
      </text>
    </comment>
    <comment ref="P66" authorId="0">
      <text>
        <r>
          <rPr>
            <sz val="10"/>
            <rFont val="Arial"/>
            <family val="2"/>
          </rPr>
          <t xml:space="preserve">7 distinct internal links; unknown: []</t>
        </r>
      </text>
    </comment>
    <comment ref="P67" authorId="0">
      <text>
        <r>
          <rPr>
            <sz val="10"/>
            <rFont val="Arial"/>
            <family val="2"/>
          </rPr>
          <t xml:space="preserve">8 distinct internal links; unknown: []</t>
        </r>
      </text>
    </comment>
    <comment ref="P68" authorId="0">
      <text>
        <r>
          <rPr>
            <sz val="10"/>
            <rFont val="Arial"/>
            <family val="2"/>
          </rPr>
          <t xml:space="preserve">6 distinct internal links; unknown: []</t>
        </r>
      </text>
    </comment>
    <comment ref="P69" authorId="0">
      <text>
        <r>
          <rPr>
            <sz val="10"/>
            <rFont val="Arial"/>
            <family val="2"/>
          </rPr>
          <t xml:space="preserve">7 distinct internal links; unknown: []</t>
        </r>
      </text>
    </comment>
    <comment ref="P70" authorId="0">
      <text>
        <r>
          <rPr>
            <sz val="10"/>
            <rFont val="Arial"/>
            <family val="2"/>
          </rPr>
          <t xml:space="preserve">8 distinct internal links; unknown: []</t>
        </r>
      </text>
    </comment>
    <comment ref="P71" authorId="0">
      <text>
        <r>
          <rPr>
            <sz val="10"/>
            <rFont val="Arial"/>
            <family val="2"/>
          </rPr>
          <t xml:space="preserve">7 distinct internal links; unknown: []</t>
        </r>
      </text>
    </comment>
    <comment ref="P72" authorId="0">
      <text>
        <r>
          <rPr>
            <sz val="10"/>
            <rFont val="Arial"/>
            <family val="2"/>
          </rPr>
          <t xml:space="preserve">8 distinct internal links; unknown: []</t>
        </r>
      </text>
    </comment>
    <comment ref="P73" authorId="0">
      <text>
        <r>
          <rPr>
            <sz val="10"/>
            <rFont val="Arial"/>
            <family val="2"/>
          </rPr>
          <t xml:space="preserve">7 distinct internal links; unknown: []</t>
        </r>
      </text>
    </comment>
    <comment ref="P74" authorId="0">
      <text>
        <r>
          <rPr>
            <sz val="10"/>
            <rFont val="Arial"/>
            <family val="2"/>
          </rPr>
          <t xml:space="preserve">7 distinct internal links; unknown: []</t>
        </r>
      </text>
    </comment>
    <comment ref="P75" authorId="0">
      <text>
        <r>
          <rPr>
            <sz val="10"/>
            <rFont val="Arial"/>
            <family val="2"/>
          </rPr>
          <t xml:space="preserve">8 distinct internal links; unknown: []</t>
        </r>
      </text>
    </comment>
    <comment ref="P76" authorId="0">
      <text>
        <r>
          <rPr>
            <sz val="10"/>
            <rFont val="Arial"/>
            <family val="2"/>
          </rPr>
          <t xml:space="preserve">6 distinct internal links; unknown: []</t>
        </r>
      </text>
    </comment>
    <comment ref="P77" authorId="0">
      <text>
        <r>
          <rPr>
            <sz val="10"/>
            <rFont val="Arial"/>
            <family val="2"/>
          </rPr>
          <t xml:space="preserve">7 distinct internal links; unknown: []</t>
        </r>
      </text>
    </comment>
    <comment ref="P78" authorId="0">
      <text>
        <r>
          <rPr>
            <sz val="10"/>
            <rFont val="Arial"/>
            <family val="2"/>
          </rPr>
          <t xml:space="preserve">7 distinct internal links; unknown: []</t>
        </r>
      </text>
    </comment>
    <comment ref="P79" authorId="0">
      <text>
        <r>
          <rPr>
            <sz val="10"/>
            <rFont val="Arial"/>
            <family val="2"/>
          </rPr>
          <t xml:space="preserve">8 distinct internal links; unknown: []</t>
        </r>
      </text>
    </comment>
    <comment ref="P80" authorId="0">
      <text>
        <r>
          <rPr>
            <sz val="10"/>
            <rFont val="Arial"/>
            <family val="2"/>
          </rPr>
          <t xml:space="preserve">7 distinct internal links; unknown: []</t>
        </r>
      </text>
    </comment>
    <comment ref="P81" authorId="0">
      <text>
        <r>
          <rPr>
            <sz val="10"/>
            <rFont val="Arial"/>
            <family val="2"/>
          </rPr>
          <t xml:space="preserve">5 distinct internal links; unknown: []</t>
        </r>
      </text>
    </comment>
    <comment ref="P82" authorId="0">
      <text>
        <r>
          <rPr>
            <sz val="10"/>
            <rFont val="Arial"/>
            <family val="2"/>
          </rPr>
          <t xml:space="preserve">7 distinct internal links; unknown: []</t>
        </r>
      </text>
    </comment>
    <comment ref="P83" authorId="0">
      <text>
        <r>
          <rPr>
            <sz val="10"/>
            <rFont val="Arial"/>
            <family val="2"/>
          </rPr>
          <t xml:space="preserve">8 distinct internal links; unknown: []</t>
        </r>
      </text>
    </comment>
    <comment ref="P84" authorId="0">
      <text>
        <r>
          <rPr>
            <sz val="10"/>
            <rFont val="Arial"/>
            <family val="2"/>
          </rPr>
          <t xml:space="preserve">7 distinct internal links; unknown: []</t>
        </r>
      </text>
    </comment>
    <comment ref="P85" authorId="0">
      <text>
        <r>
          <rPr>
            <sz val="10"/>
            <rFont val="Arial"/>
            <family val="2"/>
          </rPr>
          <t xml:space="preserve">8 distinct internal links; unknown: []</t>
        </r>
      </text>
    </comment>
    <comment ref="P86" authorId="0">
      <text>
        <r>
          <rPr>
            <sz val="10"/>
            <rFont val="Arial"/>
            <family val="2"/>
          </rPr>
          <t xml:space="preserve">7 distinct internal links; unknown: []</t>
        </r>
      </text>
    </comment>
    <comment ref="P87" authorId="0">
      <text>
        <r>
          <rPr>
            <sz val="10"/>
            <rFont val="Arial"/>
            <family val="2"/>
          </rPr>
          <t xml:space="preserve">8 distinct internal links; unknown: []</t>
        </r>
      </text>
    </comment>
    <comment ref="P88" authorId="0">
      <text>
        <r>
          <rPr>
            <sz val="10"/>
            <rFont val="Arial"/>
            <family val="2"/>
          </rPr>
          <t xml:space="preserve">6 distinct internal links; unknown: []</t>
        </r>
      </text>
    </comment>
    <comment ref="P89" authorId="0">
      <text>
        <r>
          <rPr>
            <sz val="10"/>
            <rFont val="Arial"/>
            <family val="2"/>
          </rPr>
          <t xml:space="preserve">6 distinct internal links; unknown: []</t>
        </r>
      </text>
    </comment>
    <comment ref="P90" authorId="0">
      <text>
        <r>
          <rPr>
            <sz val="10"/>
            <rFont val="Arial"/>
            <family val="2"/>
          </rPr>
          <t xml:space="preserve">7 distinct internal links; unknown: []</t>
        </r>
      </text>
    </comment>
    <comment ref="P91" authorId="0">
      <text>
        <r>
          <rPr>
            <sz val="10"/>
            <rFont val="Arial"/>
            <family val="2"/>
          </rPr>
          <t xml:space="preserve">8 distinct internal links; unknown: []</t>
        </r>
      </text>
    </comment>
    <comment ref="Q2" authorId="0">
      <text>
        <r>
          <rPr>
            <sz val="10"/>
            <rFont val="Arial"/>
            <family val="2"/>
          </rPr>
          <t xml:space="preserve">6 external refs; not on allow-list: []</t>
        </r>
      </text>
    </comment>
    <comment ref="Q3" authorId="0">
      <text>
        <r>
          <rPr>
            <sz val="10"/>
            <rFont val="Arial"/>
            <family val="2"/>
          </rPr>
          <t xml:space="preserve">6 external refs; not on allow-list: []</t>
        </r>
      </text>
    </comment>
    <comment ref="Q4" authorId="0">
      <text>
        <r>
          <rPr>
            <sz val="10"/>
            <rFont val="Arial"/>
            <family val="2"/>
          </rPr>
          <t xml:space="preserve">5 external refs; not on allow-list: []</t>
        </r>
      </text>
    </comment>
    <comment ref="Q5" authorId="0">
      <text>
        <r>
          <rPr>
            <sz val="10"/>
            <rFont val="Arial"/>
            <family val="2"/>
          </rPr>
          <t xml:space="preserve">5 external refs; not on allow-list: []</t>
        </r>
      </text>
    </comment>
    <comment ref="Q6" authorId="0">
      <text>
        <r>
          <rPr>
            <sz val="10"/>
            <rFont val="Arial"/>
            <family val="2"/>
          </rPr>
          <t xml:space="preserve">5 external refs; not on allow-list: []</t>
        </r>
      </text>
    </comment>
    <comment ref="Q7" authorId="0">
      <text>
        <r>
          <rPr>
            <sz val="10"/>
            <rFont val="Arial"/>
            <family val="2"/>
          </rPr>
          <t xml:space="preserve">6 external refs; not on allow-list: []</t>
        </r>
      </text>
    </comment>
    <comment ref="Q8" authorId="0">
      <text>
        <r>
          <rPr>
            <sz val="10"/>
            <rFont val="Arial"/>
            <family val="2"/>
          </rPr>
          <t xml:space="preserve">6 external refs; not on allow-list: []</t>
        </r>
      </text>
    </comment>
    <comment ref="Q9" authorId="0">
      <text>
        <r>
          <rPr>
            <sz val="10"/>
            <rFont val="Arial"/>
            <family val="2"/>
          </rPr>
          <t xml:space="preserve">5 external refs; not on allow-list: []</t>
        </r>
      </text>
    </comment>
    <comment ref="Q10" authorId="0">
      <text>
        <r>
          <rPr>
            <sz val="10"/>
            <rFont val="Arial"/>
            <family val="2"/>
          </rPr>
          <t xml:space="preserve">5 external refs; not on allow-list: []</t>
        </r>
      </text>
    </comment>
    <comment ref="Q11" authorId="0">
      <text>
        <r>
          <rPr>
            <sz val="10"/>
            <rFont val="Arial"/>
            <family val="2"/>
          </rPr>
          <t xml:space="preserve">5 external refs; not on allow-list: []</t>
        </r>
      </text>
    </comment>
    <comment ref="Q12" authorId="0">
      <text>
        <r>
          <rPr>
            <sz val="10"/>
            <rFont val="Arial"/>
            <family val="2"/>
          </rPr>
          <t xml:space="preserve">6 external refs; not on allow-list: []</t>
        </r>
      </text>
    </comment>
    <comment ref="Q13" authorId="0">
      <text>
        <r>
          <rPr>
            <sz val="10"/>
            <rFont val="Arial"/>
            <family val="2"/>
          </rPr>
          <t xml:space="preserve">6 external refs; not on allow-list: []</t>
        </r>
      </text>
    </comment>
    <comment ref="Q14" authorId="0">
      <text>
        <r>
          <rPr>
            <sz val="10"/>
            <rFont val="Arial"/>
            <family val="2"/>
          </rPr>
          <t xml:space="preserve">6 external refs; not on allow-list: []</t>
        </r>
      </text>
    </comment>
    <comment ref="Q15" authorId="0">
      <text>
        <r>
          <rPr>
            <sz val="10"/>
            <rFont val="Arial"/>
            <family val="2"/>
          </rPr>
          <t xml:space="preserve">5 external refs; not on allow-list: []</t>
        </r>
      </text>
    </comment>
    <comment ref="Q16" authorId="0">
      <text>
        <r>
          <rPr>
            <sz val="10"/>
            <rFont val="Arial"/>
            <family val="2"/>
          </rPr>
          <t xml:space="preserve">6 external refs; not on allow-list: []</t>
        </r>
      </text>
    </comment>
    <comment ref="Q17" authorId="0">
      <text>
        <r>
          <rPr>
            <sz val="10"/>
            <rFont val="Arial"/>
            <family val="2"/>
          </rPr>
          <t xml:space="preserve">5 external refs; not on allow-list: []</t>
        </r>
      </text>
    </comment>
    <comment ref="Q18" authorId="0">
      <text>
        <r>
          <rPr>
            <sz val="10"/>
            <rFont val="Arial"/>
            <family val="2"/>
          </rPr>
          <t xml:space="preserve">4 external refs; not on allow-list: []</t>
        </r>
      </text>
    </comment>
    <comment ref="Q19" authorId="0">
      <text>
        <r>
          <rPr>
            <sz val="10"/>
            <rFont val="Arial"/>
            <family val="2"/>
          </rPr>
          <t xml:space="preserve">5 external refs; not on allow-list: []</t>
        </r>
      </text>
    </comment>
    <comment ref="Q20" authorId="0">
      <text>
        <r>
          <rPr>
            <sz val="10"/>
            <rFont val="Arial"/>
            <family val="2"/>
          </rPr>
          <t xml:space="preserve">6 external refs; not on allow-list: []</t>
        </r>
      </text>
    </comment>
    <comment ref="Q21" authorId="0">
      <text>
        <r>
          <rPr>
            <sz val="10"/>
            <rFont val="Arial"/>
            <family val="2"/>
          </rPr>
          <t xml:space="preserve">5 external refs; not on allow-list: []</t>
        </r>
      </text>
    </comment>
    <comment ref="Q22" authorId="0">
      <text>
        <r>
          <rPr>
            <sz val="10"/>
            <rFont val="Arial"/>
            <family val="2"/>
          </rPr>
          <t xml:space="preserve">5 external refs; not on allow-list: []</t>
        </r>
      </text>
    </comment>
    <comment ref="Q23" authorId="0">
      <text>
        <r>
          <rPr>
            <sz val="10"/>
            <rFont val="Arial"/>
            <family val="2"/>
          </rPr>
          <t xml:space="preserve">5 external refs; not on allow-list: []</t>
        </r>
      </text>
    </comment>
    <comment ref="Q24" authorId="0">
      <text>
        <r>
          <rPr>
            <sz val="10"/>
            <rFont val="Arial"/>
            <family val="2"/>
          </rPr>
          <t xml:space="preserve">5 external refs; not on allow-list: []</t>
        </r>
      </text>
    </comment>
    <comment ref="Q25" authorId="0">
      <text>
        <r>
          <rPr>
            <sz val="10"/>
            <rFont val="Arial"/>
            <family val="2"/>
          </rPr>
          <t xml:space="preserve">5 external refs; not on allow-list: []</t>
        </r>
      </text>
    </comment>
    <comment ref="Q26" authorId="0">
      <text>
        <r>
          <rPr>
            <sz val="10"/>
            <rFont val="Arial"/>
            <family val="2"/>
          </rPr>
          <t xml:space="preserve">4 external refs; not on allow-list: []</t>
        </r>
      </text>
    </comment>
    <comment ref="Q27" authorId="0">
      <text>
        <r>
          <rPr>
            <sz val="10"/>
            <rFont val="Arial"/>
            <family val="2"/>
          </rPr>
          <t xml:space="preserve">5 external refs; not on allow-list: []</t>
        </r>
      </text>
    </comment>
    <comment ref="Q28" authorId="0">
      <text>
        <r>
          <rPr>
            <sz val="10"/>
            <rFont val="Arial"/>
            <family val="2"/>
          </rPr>
          <t xml:space="preserve">5 external refs; not on allow-list: []</t>
        </r>
      </text>
    </comment>
    <comment ref="Q29" authorId="0">
      <text>
        <r>
          <rPr>
            <sz val="10"/>
            <rFont val="Arial"/>
            <family val="2"/>
          </rPr>
          <t xml:space="preserve">4 external refs; not on allow-list: []</t>
        </r>
      </text>
    </comment>
    <comment ref="Q30" authorId="0">
      <text>
        <r>
          <rPr>
            <sz val="10"/>
            <rFont val="Arial"/>
            <family val="2"/>
          </rPr>
          <t xml:space="preserve">5 external refs; not on allow-list: []</t>
        </r>
      </text>
    </comment>
    <comment ref="Q31" authorId="0">
      <text>
        <r>
          <rPr>
            <sz val="10"/>
            <rFont val="Arial"/>
            <family val="2"/>
          </rPr>
          <t xml:space="preserve">3 external refs; not on allow-list: []</t>
        </r>
      </text>
    </comment>
    <comment ref="Q32" authorId="0">
      <text>
        <r>
          <rPr>
            <sz val="10"/>
            <rFont val="Arial"/>
            <family val="2"/>
          </rPr>
          <t xml:space="preserve">6 external refs; not on allow-list: []</t>
        </r>
      </text>
    </comment>
    <comment ref="Q33" authorId="0">
      <text>
        <r>
          <rPr>
            <sz val="10"/>
            <rFont val="Arial"/>
            <family val="2"/>
          </rPr>
          <t xml:space="preserve">5 external refs; not on allow-list: []</t>
        </r>
      </text>
    </comment>
    <comment ref="Q34" authorId="0">
      <text>
        <r>
          <rPr>
            <sz val="10"/>
            <rFont val="Arial"/>
            <family val="2"/>
          </rPr>
          <t xml:space="preserve">5 external refs; not on allow-list: []</t>
        </r>
      </text>
    </comment>
    <comment ref="Q35" authorId="0">
      <text>
        <r>
          <rPr>
            <sz val="10"/>
            <rFont val="Arial"/>
            <family val="2"/>
          </rPr>
          <t xml:space="preserve">5 external refs; not on allow-list: []</t>
        </r>
      </text>
    </comment>
    <comment ref="Q36" authorId="0">
      <text>
        <r>
          <rPr>
            <sz val="10"/>
            <rFont val="Arial"/>
            <family val="2"/>
          </rPr>
          <t xml:space="preserve">4 external refs; not on allow-list: []</t>
        </r>
      </text>
    </comment>
    <comment ref="Q37" authorId="0">
      <text>
        <r>
          <rPr>
            <sz val="10"/>
            <rFont val="Arial"/>
            <family val="2"/>
          </rPr>
          <t xml:space="preserve">6 external refs; not on allow-list: []</t>
        </r>
      </text>
    </comment>
    <comment ref="Q38" authorId="0">
      <text>
        <r>
          <rPr>
            <sz val="10"/>
            <rFont val="Arial"/>
            <family val="2"/>
          </rPr>
          <t xml:space="preserve">4 external refs; not on allow-list: []</t>
        </r>
      </text>
    </comment>
    <comment ref="Q39" authorId="0">
      <text>
        <r>
          <rPr>
            <sz val="10"/>
            <rFont val="Arial"/>
            <family val="2"/>
          </rPr>
          <t xml:space="preserve">5 external refs; not on allow-list: []</t>
        </r>
      </text>
    </comment>
    <comment ref="Q40" authorId="0">
      <text>
        <r>
          <rPr>
            <sz val="10"/>
            <rFont val="Arial"/>
            <family val="2"/>
          </rPr>
          <t xml:space="preserve">4 external refs; not on allow-list: []</t>
        </r>
      </text>
    </comment>
    <comment ref="Q41" authorId="0">
      <text>
        <r>
          <rPr>
            <sz val="10"/>
            <rFont val="Arial"/>
            <family val="2"/>
          </rPr>
          <t xml:space="preserve">3 external refs; not on allow-list: []</t>
        </r>
      </text>
    </comment>
    <comment ref="Q42" authorId="0">
      <text>
        <r>
          <rPr>
            <sz val="10"/>
            <rFont val="Arial"/>
            <family val="2"/>
          </rPr>
          <t xml:space="preserve">5 external refs; not on allow-list: []</t>
        </r>
      </text>
    </comment>
    <comment ref="Q43" authorId="0">
      <text>
        <r>
          <rPr>
            <sz val="10"/>
            <rFont val="Arial"/>
            <family val="2"/>
          </rPr>
          <t xml:space="preserve">6 external refs; not on allow-list: []</t>
        </r>
      </text>
    </comment>
    <comment ref="Q44" authorId="0">
      <text>
        <r>
          <rPr>
            <sz val="10"/>
            <rFont val="Arial"/>
            <family val="2"/>
          </rPr>
          <t xml:space="preserve">5 external refs; not on allow-list: []</t>
        </r>
      </text>
    </comment>
    <comment ref="Q45" authorId="0">
      <text>
        <r>
          <rPr>
            <sz val="10"/>
            <rFont val="Arial"/>
            <family val="2"/>
          </rPr>
          <t xml:space="preserve">4 external refs; not on allow-list: []</t>
        </r>
      </text>
    </comment>
    <comment ref="Q46" authorId="0">
      <text>
        <r>
          <rPr>
            <sz val="10"/>
            <rFont val="Arial"/>
            <family val="2"/>
          </rPr>
          <t xml:space="preserve">5 external refs; not on allow-list: []</t>
        </r>
      </text>
    </comment>
    <comment ref="Q47" authorId="0">
      <text>
        <r>
          <rPr>
            <sz val="10"/>
            <rFont val="Arial"/>
            <family val="2"/>
          </rPr>
          <t xml:space="preserve">6 external refs; not on allow-list: []</t>
        </r>
      </text>
    </comment>
    <comment ref="Q48" authorId="0">
      <text>
        <r>
          <rPr>
            <sz val="10"/>
            <rFont val="Arial"/>
            <family val="2"/>
          </rPr>
          <t xml:space="preserve">4 external refs; not on allow-list: []</t>
        </r>
      </text>
    </comment>
    <comment ref="Q49" authorId="0">
      <text>
        <r>
          <rPr>
            <sz val="10"/>
            <rFont val="Arial"/>
            <family val="2"/>
          </rPr>
          <t xml:space="preserve">4 external refs; not on allow-list: []</t>
        </r>
      </text>
    </comment>
    <comment ref="Q50" authorId="0">
      <text>
        <r>
          <rPr>
            <sz val="10"/>
            <rFont val="Arial"/>
            <family val="2"/>
          </rPr>
          <t xml:space="preserve">4 external refs; not on allow-list: []</t>
        </r>
      </text>
    </comment>
    <comment ref="Q51" authorId="0">
      <text>
        <r>
          <rPr>
            <sz val="10"/>
            <rFont val="Arial"/>
            <family val="2"/>
          </rPr>
          <t xml:space="preserve">5 external refs; not on allow-list: []</t>
        </r>
      </text>
    </comment>
    <comment ref="Q52" authorId="0">
      <text>
        <r>
          <rPr>
            <sz val="10"/>
            <rFont val="Arial"/>
            <family val="2"/>
          </rPr>
          <t xml:space="preserve">4 external refs; not on allow-list: []</t>
        </r>
      </text>
    </comment>
    <comment ref="Q53" authorId="0">
      <text>
        <r>
          <rPr>
            <sz val="10"/>
            <rFont val="Arial"/>
            <family val="2"/>
          </rPr>
          <t xml:space="preserve">5 external refs; not on allow-list: []</t>
        </r>
      </text>
    </comment>
    <comment ref="Q54" authorId="0">
      <text>
        <r>
          <rPr>
            <sz val="10"/>
            <rFont val="Arial"/>
            <family val="2"/>
          </rPr>
          <t xml:space="preserve">6 external refs; not on allow-list: []</t>
        </r>
      </text>
    </comment>
    <comment ref="Q55" authorId="0">
      <text>
        <r>
          <rPr>
            <sz val="10"/>
            <rFont val="Arial"/>
            <family val="2"/>
          </rPr>
          <t xml:space="preserve">6 external refs; not on allow-list: []</t>
        </r>
      </text>
    </comment>
    <comment ref="Q56" authorId="0">
      <text>
        <r>
          <rPr>
            <sz val="10"/>
            <rFont val="Arial"/>
            <family val="2"/>
          </rPr>
          <t xml:space="preserve">4 external refs; not on allow-list: []</t>
        </r>
      </text>
    </comment>
    <comment ref="Q57" authorId="0">
      <text>
        <r>
          <rPr>
            <sz val="10"/>
            <rFont val="Arial"/>
            <family val="2"/>
          </rPr>
          <t xml:space="preserve">8 external refs; not on allow-list: []</t>
        </r>
      </text>
    </comment>
    <comment ref="Q58" authorId="0">
      <text>
        <r>
          <rPr>
            <sz val="10"/>
            <rFont val="Arial"/>
            <family val="2"/>
          </rPr>
          <t xml:space="preserve">4 external refs; not on allow-list: []</t>
        </r>
      </text>
    </comment>
    <comment ref="Q59" authorId="0">
      <text>
        <r>
          <rPr>
            <sz val="10"/>
            <rFont val="Arial"/>
            <family val="2"/>
          </rPr>
          <t xml:space="preserve">3 external refs; not on allow-list: []</t>
        </r>
      </text>
    </comment>
    <comment ref="Q60" authorId="0">
      <text>
        <r>
          <rPr>
            <sz val="10"/>
            <rFont val="Arial"/>
            <family val="2"/>
          </rPr>
          <t xml:space="preserve">7 external refs; not on allow-list: []</t>
        </r>
      </text>
    </comment>
    <comment ref="Q61" authorId="0">
      <text>
        <r>
          <rPr>
            <sz val="10"/>
            <rFont val="Arial"/>
            <family val="2"/>
          </rPr>
          <t xml:space="preserve">27 external refs; not on allow-list: []</t>
        </r>
      </text>
    </comment>
    <comment ref="Q62" authorId="0">
      <text>
        <r>
          <rPr>
            <sz val="10"/>
            <rFont val="Arial"/>
            <family val="2"/>
          </rPr>
          <t xml:space="preserve">4 external refs; not on allow-list: []</t>
        </r>
      </text>
    </comment>
    <comment ref="Q63" authorId="0">
      <text>
        <r>
          <rPr>
            <sz val="10"/>
            <rFont val="Arial"/>
            <family val="2"/>
          </rPr>
          <t xml:space="preserve">5 external refs; not on allow-list: []</t>
        </r>
      </text>
    </comment>
    <comment ref="Q64" authorId="0">
      <text>
        <r>
          <rPr>
            <sz val="10"/>
            <rFont val="Arial"/>
            <family val="2"/>
          </rPr>
          <t xml:space="preserve">5 external refs; not on allow-list: []</t>
        </r>
      </text>
    </comment>
    <comment ref="Q65" authorId="0">
      <text>
        <r>
          <rPr>
            <sz val="10"/>
            <rFont val="Arial"/>
            <family val="2"/>
          </rPr>
          <t xml:space="preserve">5 external refs; not on allow-list: []</t>
        </r>
      </text>
    </comment>
    <comment ref="Q66" authorId="0">
      <text>
        <r>
          <rPr>
            <sz val="10"/>
            <rFont val="Arial"/>
            <family val="2"/>
          </rPr>
          <t xml:space="preserve">5 external refs; not on allow-list: []</t>
        </r>
      </text>
    </comment>
    <comment ref="Q67" authorId="0">
      <text>
        <r>
          <rPr>
            <sz val="10"/>
            <rFont val="Arial"/>
            <family val="2"/>
          </rPr>
          <t xml:space="preserve">6 external refs; not on allow-list: []</t>
        </r>
      </text>
    </comment>
    <comment ref="Q68" authorId="0">
      <text>
        <r>
          <rPr>
            <sz val="10"/>
            <rFont val="Arial"/>
            <family val="2"/>
          </rPr>
          <t xml:space="preserve">5 external refs; not on allow-list: []</t>
        </r>
      </text>
    </comment>
    <comment ref="Q69" authorId="0">
      <text>
        <r>
          <rPr>
            <sz val="10"/>
            <rFont val="Arial"/>
            <family val="2"/>
          </rPr>
          <t xml:space="preserve">5 external refs; not on allow-list: []</t>
        </r>
      </text>
    </comment>
    <comment ref="Q70" authorId="0">
      <text>
        <r>
          <rPr>
            <sz val="10"/>
            <rFont val="Arial"/>
            <family val="2"/>
          </rPr>
          <t xml:space="preserve">4 external refs; not on allow-list: []</t>
        </r>
      </text>
    </comment>
    <comment ref="Q71" authorId="0">
      <text>
        <r>
          <rPr>
            <sz val="10"/>
            <rFont val="Arial"/>
            <family val="2"/>
          </rPr>
          <t xml:space="preserve">5 external refs; not on allow-list: []</t>
        </r>
      </text>
    </comment>
    <comment ref="Q72" authorId="0">
      <text>
        <r>
          <rPr>
            <sz val="10"/>
            <rFont val="Arial"/>
            <family val="2"/>
          </rPr>
          <t xml:space="preserve">5 external refs; not on allow-list: []</t>
        </r>
      </text>
    </comment>
    <comment ref="Q73" authorId="0">
      <text>
        <r>
          <rPr>
            <sz val="10"/>
            <rFont val="Arial"/>
            <family val="2"/>
          </rPr>
          <t xml:space="preserve">5 external refs; not on allow-list: []</t>
        </r>
      </text>
    </comment>
    <comment ref="Q74" authorId="0">
      <text>
        <r>
          <rPr>
            <sz val="10"/>
            <rFont val="Arial"/>
            <family val="2"/>
          </rPr>
          <t xml:space="preserve">4 external refs; not on allow-list: []</t>
        </r>
      </text>
    </comment>
    <comment ref="Q75" authorId="0">
      <text>
        <r>
          <rPr>
            <sz val="10"/>
            <rFont val="Arial"/>
            <family val="2"/>
          </rPr>
          <t xml:space="preserve">6 external refs; not on allow-list: []</t>
        </r>
      </text>
    </comment>
    <comment ref="Q76" authorId="0">
      <text>
        <r>
          <rPr>
            <sz val="10"/>
            <rFont val="Arial"/>
            <family val="2"/>
          </rPr>
          <t xml:space="preserve">4 external refs; not on allow-list: []</t>
        </r>
      </text>
    </comment>
    <comment ref="Q77" authorId="0">
      <text>
        <r>
          <rPr>
            <sz val="10"/>
            <rFont val="Arial"/>
            <family val="2"/>
          </rPr>
          <t xml:space="preserve">5 external refs; not on allow-list: []</t>
        </r>
      </text>
    </comment>
    <comment ref="Q78" authorId="0">
      <text>
        <r>
          <rPr>
            <sz val="10"/>
            <rFont val="Arial"/>
            <family val="2"/>
          </rPr>
          <t xml:space="preserve">4 external refs; not on allow-list: []</t>
        </r>
      </text>
    </comment>
    <comment ref="Q79" authorId="0">
      <text>
        <r>
          <rPr>
            <sz val="10"/>
            <rFont val="Arial"/>
            <family val="2"/>
          </rPr>
          <t xml:space="preserve">5 external refs; not on allow-list: []</t>
        </r>
      </text>
    </comment>
    <comment ref="Q80" authorId="0">
      <text>
        <r>
          <rPr>
            <sz val="10"/>
            <rFont val="Arial"/>
            <family val="2"/>
          </rPr>
          <t xml:space="preserve">5 external refs; not on allow-list: []</t>
        </r>
      </text>
    </comment>
    <comment ref="Q81" authorId="0">
      <text>
        <r>
          <rPr>
            <sz val="10"/>
            <rFont val="Arial"/>
            <family val="2"/>
          </rPr>
          <t xml:space="preserve">3 external refs; not on allow-list: []</t>
        </r>
      </text>
    </comment>
    <comment ref="Q82" authorId="0">
      <text>
        <r>
          <rPr>
            <sz val="10"/>
            <rFont val="Arial"/>
            <family val="2"/>
          </rPr>
          <t xml:space="preserve">4 external refs; not on allow-list: []</t>
        </r>
      </text>
    </comment>
    <comment ref="Q83" authorId="0">
      <text>
        <r>
          <rPr>
            <sz val="10"/>
            <rFont val="Arial"/>
            <family val="2"/>
          </rPr>
          <t xml:space="preserve">5 external refs; not on allow-list: []</t>
        </r>
      </text>
    </comment>
    <comment ref="Q84" authorId="0">
      <text>
        <r>
          <rPr>
            <sz val="10"/>
            <rFont val="Arial"/>
            <family val="2"/>
          </rPr>
          <t xml:space="preserve">4 external refs; not on allow-list: []</t>
        </r>
      </text>
    </comment>
    <comment ref="Q85" authorId="0">
      <text>
        <r>
          <rPr>
            <sz val="10"/>
            <rFont val="Arial"/>
            <family val="2"/>
          </rPr>
          <t xml:space="preserve">6 external refs; not on allow-list: []</t>
        </r>
      </text>
    </comment>
    <comment ref="Q86" authorId="0">
      <text>
        <r>
          <rPr>
            <sz val="10"/>
            <rFont val="Arial"/>
            <family val="2"/>
          </rPr>
          <t xml:space="preserve">6 external refs; not on allow-list: []</t>
        </r>
      </text>
    </comment>
    <comment ref="Q87" authorId="0">
      <text>
        <r>
          <rPr>
            <sz val="10"/>
            <rFont val="Arial"/>
            <family val="2"/>
          </rPr>
          <t xml:space="preserve">6 external refs; not on allow-list: []</t>
        </r>
      </text>
    </comment>
    <comment ref="Q88" authorId="0">
      <text>
        <r>
          <rPr>
            <sz val="10"/>
            <rFont val="Arial"/>
            <family val="2"/>
          </rPr>
          <t xml:space="preserve">6 external refs; not on allow-list: []</t>
        </r>
      </text>
    </comment>
    <comment ref="Q89" authorId="0">
      <text>
        <r>
          <rPr>
            <sz val="10"/>
            <rFont val="Arial"/>
            <family val="2"/>
          </rPr>
          <t xml:space="preserve">6 external refs; not on allow-list: []</t>
        </r>
      </text>
    </comment>
    <comment ref="Q90" authorId="0">
      <text>
        <r>
          <rPr>
            <sz val="10"/>
            <rFont val="Arial"/>
            <family val="2"/>
          </rPr>
          <t xml:space="preserve">6 external refs; not on allow-list: []</t>
        </r>
      </text>
    </comment>
    <comment ref="Q91" authorId="0">
      <text>
        <r>
          <rPr>
            <sz val="10"/>
            <rFont val="Arial"/>
            <family val="2"/>
          </rPr>
          <t xml:space="preserve">6 external refs; not on allow-list: []</t>
        </r>
      </text>
    </comment>
    <comment ref="R2" authorId="0">
      <text>
        <r>
          <rPr>
            <sz val="10"/>
            <rFont val="Arial"/>
            <family val="2"/>
          </rPr>
          <t xml:space="preserve">all seven named</t>
        </r>
      </text>
    </comment>
    <comment ref="R3" authorId="0">
      <text>
        <r>
          <rPr>
            <sz val="10"/>
            <rFont val="Arial"/>
            <family val="2"/>
          </rPr>
          <t xml:space="preserve">all seven named</t>
        </r>
      </text>
    </comment>
    <comment ref="R4" authorId="0">
      <text>
        <r>
          <rPr>
            <sz val="10"/>
            <rFont val="Arial"/>
            <family val="2"/>
          </rPr>
          <t xml:space="preserve">all seven named</t>
        </r>
      </text>
    </comment>
    <comment ref="R5" authorId="0">
      <text>
        <r>
          <rPr>
            <sz val="10"/>
            <rFont val="Arial"/>
            <family val="2"/>
          </rPr>
          <t xml:space="preserve">all seven named</t>
        </r>
      </text>
    </comment>
    <comment ref="R6" authorId="0">
      <text>
        <r>
          <rPr>
            <sz val="10"/>
            <rFont val="Arial"/>
            <family val="2"/>
          </rPr>
          <t xml:space="preserve">all seven named</t>
        </r>
      </text>
    </comment>
    <comment ref="R7" authorId="0">
      <text>
        <r>
          <rPr>
            <sz val="10"/>
            <rFont val="Arial"/>
            <family val="2"/>
          </rPr>
          <t xml:space="preserve">all seven named</t>
        </r>
      </text>
    </comment>
    <comment ref="R8" authorId="0">
      <text>
        <r>
          <rPr>
            <sz val="10"/>
            <rFont val="Arial"/>
            <family val="2"/>
          </rPr>
          <t xml:space="preserve">all seven named</t>
        </r>
      </text>
    </comment>
    <comment ref="R9" authorId="0">
      <text>
        <r>
          <rPr>
            <sz val="10"/>
            <rFont val="Arial"/>
            <family val="2"/>
          </rPr>
          <t xml:space="preserve">all seven named</t>
        </r>
      </text>
    </comment>
    <comment ref="R10" authorId="0">
      <text>
        <r>
          <rPr>
            <sz val="10"/>
            <rFont val="Arial"/>
            <family val="2"/>
          </rPr>
          <t xml:space="preserve">all seven named</t>
        </r>
      </text>
    </comment>
    <comment ref="R11" authorId="0">
      <text>
        <r>
          <rPr>
            <sz val="10"/>
            <rFont val="Arial"/>
            <family val="2"/>
          </rPr>
          <t xml:space="preserve">all seven named</t>
        </r>
      </text>
    </comment>
    <comment ref="R12" authorId="0">
      <text>
        <r>
          <rPr>
            <sz val="10"/>
            <rFont val="Arial"/>
            <family val="2"/>
          </rPr>
          <t xml:space="preserve">all seven named</t>
        </r>
      </text>
    </comment>
    <comment ref="R13" authorId="0">
      <text>
        <r>
          <rPr>
            <sz val="10"/>
            <rFont val="Arial"/>
            <family val="2"/>
          </rPr>
          <t xml:space="preserve">all seven named</t>
        </r>
      </text>
    </comment>
    <comment ref="R14" authorId="0">
      <text>
        <r>
          <rPr>
            <sz val="10"/>
            <rFont val="Arial"/>
            <family val="2"/>
          </rPr>
          <t xml:space="preserve">all seven named</t>
        </r>
      </text>
    </comment>
    <comment ref="R15" authorId="0">
      <text>
        <r>
          <rPr>
            <sz val="10"/>
            <rFont val="Arial"/>
            <family val="2"/>
          </rPr>
          <t xml:space="preserve">all seven named</t>
        </r>
      </text>
    </comment>
    <comment ref="R16" authorId="0">
      <text>
        <r>
          <rPr>
            <sz val="10"/>
            <rFont val="Arial"/>
            <family val="2"/>
          </rPr>
          <t xml:space="preserve">all seven named</t>
        </r>
      </text>
    </comment>
    <comment ref="R17" authorId="0">
      <text>
        <r>
          <rPr>
            <sz val="10"/>
            <rFont val="Arial"/>
            <family val="2"/>
          </rPr>
          <t xml:space="preserve">all seven named</t>
        </r>
      </text>
    </comment>
    <comment ref="R18" authorId="0">
      <text>
        <r>
          <rPr>
            <sz val="10"/>
            <rFont val="Arial"/>
            <family val="2"/>
          </rPr>
          <t xml:space="preserve">all seven named</t>
        </r>
      </text>
    </comment>
    <comment ref="R19" authorId="0">
      <text>
        <r>
          <rPr>
            <sz val="10"/>
            <rFont val="Arial"/>
            <family val="2"/>
          </rPr>
          <t xml:space="preserve">all seven named</t>
        </r>
      </text>
    </comment>
    <comment ref="R20" authorId="0">
      <text>
        <r>
          <rPr>
            <sz val="10"/>
            <rFont val="Arial"/>
            <family val="2"/>
          </rPr>
          <t xml:space="preserve">all seven named</t>
        </r>
      </text>
    </comment>
    <comment ref="R21" authorId="0">
      <text>
        <r>
          <rPr>
            <sz val="10"/>
            <rFont val="Arial"/>
            <family val="2"/>
          </rPr>
          <t xml:space="preserve">all seven named</t>
        </r>
      </text>
    </comment>
    <comment ref="R22" authorId="0">
      <text>
        <r>
          <rPr>
            <sz val="10"/>
            <rFont val="Arial"/>
            <family val="2"/>
          </rPr>
          <t xml:space="preserve">all seven named</t>
        </r>
      </text>
    </comment>
    <comment ref="R23" authorId="0">
      <text>
        <r>
          <rPr>
            <sz val="10"/>
            <rFont val="Arial"/>
            <family val="2"/>
          </rPr>
          <t xml:space="preserve">all seven named</t>
        </r>
      </text>
    </comment>
    <comment ref="R24" authorId="0">
      <text>
        <r>
          <rPr>
            <sz val="10"/>
            <rFont val="Arial"/>
            <family val="2"/>
          </rPr>
          <t xml:space="preserve">all seven named</t>
        </r>
      </text>
    </comment>
    <comment ref="R25" authorId="0">
      <text>
        <r>
          <rPr>
            <sz val="10"/>
            <rFont val="Arial"/>
            <family val="2"/>
          </rPr>
          <t xml:space="preserve">all seven named</t>
        </r>
      </text>
    </comment>
    <comment ref="R26" authorId="0">
      <text>
        <r>
          <rPr>
            <sz val="10"/>
            <rFont val="Arial"/>
            <family val="2"/>
          </rPr>
          <t xml:space="preserve">all seven named</t>
        </r>
      </text>
    </comment>
    <comment ref="R27" authorId="0">
      <text>
        <r>
          <rPr>
            <sz val="10"/>
            <rFont val="Arial"/>
            <family val="2"/>
          </rPr>
          <t xml:space="preserve">all seven named</t>
        </r>
      </text>
    </comment>
    <comment ref="R28" authorId="0">
      <text>
        <r>
          <rPr>
            <sz val="10"/>
            <rFont val="Arial"/>
            <family val="2"/>
          </rPr>
          <t xml:space="preserve">all seven named</t>
        </r>
      </text>
    </comment>
    <comment ref="R29" authorId="0">
      <text>
        <r>
          <rPr>
            <sz val="10"/>
            <rFont val="Arial"/>
            <family val="2"/>
          </rPr>
          <t xml:space="preserve">all seven named</t>
        </r>
      </text>
    </comment>
    <comment ref="R30" authorId="0">
      <text>
        <r>
          <rPr>
            <sz val="10"/>
            <rFont val="Arial"/>
            <family val="2"/>
          </rPr>
          <t xml:space="preserve">all seven named</t>
        </r>
      </text>
    </comment>
    <comment ref="R31" authorId="0">
      <text>
        <r>
          <rPr>
            <sz val="10"/>
            <rFont val="Arial"/>
            <family val="2"/>
          </rPr>
          <t xml:space="preserve">all seven named</t>
        </r>
      </text>
    </comment>
    <comment ref="R32" authorId="0">
      <text>
        <r>
          <rPr>
            <sz val="10"/>
            <rFont val="Arial"/>
            <family val="2"/>
          </rPr>
          <t xml:space="preserve">all seven named</t>
        </r>
      </text>
    </comment>
    <comment ref="R33" authorId="0">
      <text>
        <r>
          <rPr>
            <sz val="10"/>
            <rFont val="Arial"/>
            <family val="2"/>
          </rPr>
          <t xml:space="preserve">all seven named</t>
        </r>
      </text>
    </comment>
    <comment ref="R34" authorId="0">
      <text>
        <r>
          <rPr>
            <sz val="10"/>
            <rFont val="Arial"/>
            <family val="2"/>
          </rPr>
          <t xml:space="preserve">all seven named</t>
        </r>
      </text>
    </comment>
    <comment ref="R35" authorId="0">
      <text>
        <r>
          <rPr>
            <sz val="10"/>
            <rFont val="Arial"/>
            <family val="2"/>
          </rPr>
          <t xml:space="preserve">all seven named</t>
        </r>
      </text>
    </comment>
    <comment ref="R36" authorId="0">
      <text>
        <r>
          <rPr>
            <sz val="10"/>
            <rFont val="Arial"/>
            <family val="2"/>
          </rPr>
          <t xml:space="preserve">all seven named</t>
        </r>
      </text>
    </comment>
    <comment ref="R37" authorId="0">
      <text>
        <r>
          <rPr>
            <sz val="10"/>
            <rFont val="Arial"/>
            <family val="2"/>
          </rPr>
          <t xml:space="preserve">all seven named</t>
        </r>
      </text>
    </comment>
    <comment ref="R38" authorId="0">
      <text>
        <r>
          <rPr>
            <sz val="10"/>
            <rFont val="Arial"/>
            <family val="2"/>
          </rPr>
          <t xml:space="preserve">all seven named</t>
        </r>
      </text>
    </comment>
    <comment ref="R39" authorId="0">
      <text>
        <r>
          <rPr>
            <sz val="10"/>
            <rFont val="Arial"/>
            <family val="2"/>
          </rPr>
          <t xml:space="preserve">all seven named</t>
        </r>
      </text>
    </comment>
    <comment ref="R40" authorId="0">
      <text>
        <r>
          <rPr>
            <sz val="10"/>
            <rFont val="Arial"/>
            <family val="2"/>
          </rPr>
          <t xml:space="preserve">all seven named</t>
        </r>
      </text>
    </comment>
    <comment ref="R41" authorId="0">
      <text>
        <r>
          <rPr>
            <sz val="10"/>
            <rFont val="Arial"/>
            <family val="2"/>
          </rPr>
          <t xml:space="preserve">all seven named</t>
        </r>
      </text>
    </comment>
    <comment ref="R42" authorId="0">
      <text>
        <r>
          <rPr>
            <sz val="10"/>
            <rFont val="Arial"/>
            <family val="2"/>
          </rPr>
          <t xml:space="preserve">all seven named</t>
        </r>
      </text>
    </comment>
    <comment ref="R43" authorId="0">
      <text>
        <r>
          <rPr>
            <sz val="10"/>
            <rFont val="Arial"/>
            <family val="2"/>
          </rPr>
          <t xml:space="preserve">all seven named</t>
        </r>
      </text>
    </comment>
    <comment ref="R44" authorId="0">
      <text>
        <r>
          <rPr>
            <sz val="10"/>
            <rFont val="Arial"/>
            <family val="2"/>
          </rPr>
          <t xml:space="preserve">all seven named</t>
        </r>
      </text>
    </comment>
    <comment ref="R45" authorId="0">
      <text>
        <r>
          <rPr>
            <sz val="10"/>
            <rFont val="Arial"/>
            <family val="2"/>
          </rPr>
          <t xml:space="preserve">all seven named</t>
        </r>
      </text>
    </comment>
    <comment ref="R46" authorId="0">
      <text>
        <r>
          <rPr>
            <sz val="10"/>
            <rFont val="Arial"/>
            <family val="2"/>
          </rPr>
          <t xml:space="preserve">all seven named</t>
        </r>
      </text>
    </comment>
    <comment ref="R47" authorId="0">
      <text>
        <r>
          <rPr>
            <sz val="10"/>
            <rFont val="Arial"/>
            <family val="2"/>
          </rPr>
          <t xml:space="preserve">all seven named</t>
        </r>
      </text>
    </comment>
    <comment ref="R48" authorId="0">
      <text>
        <r>
          <rPr>
            <sz val="10"/>
            <rFont val="Arial"/>
            <family val="2"/>
          </rPr>
          <t xml:space="preserve">all seven named</t>
        </r>
      </text>
    </comment>
    <comment ref="R49" authorId="0">
      <text>
        <r>
          <rPr>
            <sz val="10"/>
            <rFont val="Arial"/>
            <family val="2"/>
          </rPr>
          <t xml:space="preserve">all seven named</t>
        </r>
      </text>
    </comment>
    <comment ref="R50" authorId="0">
      <text>
        <r>
          <rPr>
            <sz val="10"/>
            <rFont val="Arial"/>
            <family val="2"/>
          </rPr>
          <t xml:space="preserve">all seven named</t>
        </r>
      </text>
    </comment>
    <comment ref="R51" authorId="0">
      <text>
        <r>
          <rPr>
            <sz val="10"/>
            <rFont val="Arial"/>
            <family val="2"/>
          </rPr>
          <t xml:space="preserve">all seven named</t>
        </r>
      </text>
    </comment>
    <comment ref="R52" authorId="0">
      <text>
        <r>
          <rPr>
            <sz val="10"/>
            <rFont val="Arial"/>
            <family val="2"/>
          </rPr>
          <t xml:space="preserve">all seven named</t>
        </r>
      </text>
    </comment>
    <comment ref="R53" authorId="0">
      <text>
        <r>
          <rPr>
            <sz val="10"/>
            <rFont val="Arial"/>
            <family val="2"/>
          </rPr>
          <t xml:space="preserve">all seven named</t>
        </r>
      </text>
    </comment>
    <comment ref="R54" authorId="0">
      <text>
        <r>
          <rPr>
            <sz val="10"/>
            <rFont val="Arial"/>
            <family val="2"/>
          </rPr>
          <t xml:space="preserve">all seven named</t>
        </r>
      </text>
    </comment>
    <comment ref="R55" authorId="0">
      <text>
        <r>
          <rPr>
            <sz val="10"/>
            <rFont val="Arial"/>
            <family val="2"/>
          </rPr>
          <t xml:space="preserve">all seven named</t>
        </r>
      </text>
    </comment>
    <comment ref="R56" authorId="0">
      <text>
        <r>
          <rPr>
            <sz val="10"/>
            <rFont val="Arial"/>
            <family val="2"/>
          </rPr>
          <t xml:space="preserve">all seven named</t>
        </r>
      </text>
    </comment>
    <comment ref="R57" authorId="0">
      <text>
        <r>
          <rPr>
            <sz val="10"/>
            <rFont val="Arial"/>
            <family val="2"/>
          </rPr>
          <t xml:space="preserve">all seven named</t>
        </r>
      </text>
    </comment>
    <comment ref="R58" authorId="0">
      <text>
        <r>
          <rPr>
            <sz val="10"/>
            <rFont val="Arial"/>
            <family val="2"/>
          </rPr>
          <t xml:space="preserve">all seven named</t>
        </r>
      </text>
    </comment>
    <comment ref="R59" authorId="0">
      <text>
        <r>
          <rPr>
            <sz val="10"/>
            <rFont val="Arial"/>
            <family val="2"/>
          </rPr>
          <t xml:space="preserve">all seven named</t>
        </r>
      </text>
    </comment>
    <comment ref="R60" authorId="0">
      <text>
        <r>
          <rPr>
            <sz val="10"/>
            <rFont val="Arial"/>
            <family val="2"/>
          </rPr>
          <t xml:space="preserve">all seven named</t>
        </r>
      </text>
    </comment>
    <comment ref="R61" authorId="0">
      <text>
        <r>
          <rPr>
            <sz val="10"/>
            <rFont val="Arial"/>
            <family val="2"/>
          </rPr>
          <t xml:space="preserve">all seven named</t>
        </r>
      </text>
    </comment>
    <comment ref="R62" authorId="0">
      <text>
        <r>
          <rPr>
            <sz val="10"/>
            <rFont val="Arial"/>
            <family val="2"/>
          </rPr>
          <t xml:space="preserve">all seven named</t>
        </r>
      </text>
    </comment>
    <comment ref="R63" authorId="0">
      <text>
        <r>
          <rPr>
            <sz val="10"/>
            <rFont val="Arial"/>
            <family val="2"/>
          </rPr>
          <t xml:space="preserve">all seven named</t>
        </r>
      </text>
    </comment>
    <comment ref="R64" authorId="0">
      <text>
        <r>
          <rPr>
            <sz val="10"/>
            <rFont val="Arial"/>
            <family val="2"/>
          </rPr>
          <t xml:space="preserve">all seven named</t>
        </r>
      </text>
    </comment>
    <comment ref="R65" authorId="0">
      <text>
        <r>
          <rPr>
            <sz val="10"/>
            <rFont val="Arial"/>
            <family val="2"/>
          </rPr>
          <t xml:space="preserve">all seven named</t>
        </r>
      </text>
    </comment>
    <comment ref="R66" authorId="0">
      <text>
        <r>
          <rPr>
            <sz val="10"/>
            <rFont val="Arial"/>
            <family val="2"/>
          </rPr>
          <t xml:space="preserve">all seven named</t>
        </r>
      </text>
    </comment>
    <comment ref="R67" authorId="0">
      <text>
        <r>
          <rPr>
            <sz val="10"/>
            <rFont val="Arial"/>
            <family val="2"/>
          </rPr>
          <t xml:space="preserve">all seven named</t>
        </r>
      </text>
    </comment>
    <comment ref="R68" authorId="0">
      <text>
        <r>
          <rPr>
            <sz val="10"/>
            <rFont val="Arial"/>
            <family val="2"/>
          </rPr>
          <t xml:space="preserve">all seven named</t>
        </r>
      </text>
    </comment>
    <comment ref="R69" authorId="0">
      <text>
        <r>
          <rPr>
            <sz val="10"/>
            <rFont val="Arial"/>
            <family val="2"/>
          </rPr>
          <t xml:space="preserve">all seven named</t>
        </r>
      </text>
    </comment>
    <comment ref="R70" authorId="0">
      <text>
        <r>
          <rPr>
            <sz val="10"/>
            <rFont val="Arial"/>
            <family val="2"/>
          </rPr>
          <t xml:space="preserve">all seven named</t>
        </r>
      </text>
    </comment>
    <comment ref="R71" authorId="0">
      <text>
        <r>
          <rPr>
            <sz val="10"/>
            <rFont val="Arial"/>
            <family val="2"/>
          </rPr>
          <t xml:space="preserve">all seven named</t>
        </r>
      </text>
    </comment>
    <comment ref="R72" authorId="0">
      <text>
        <r>
          <rPr>
            <sz val="10"/>
            <rFont val="Arial"/>
            <family val="2"/>
          </rPr>
          <t xml:space="preserve">all seven named</t>
        </r>
      </text>
    </comment>
    <comment ref="R73" authorId="0">
      <text>
        <r>
          <rPr>
            <sz val="10"/>
            <rFont val="Arial"/>
            <family val="2"/>
          </rPr>
          <t xml:space="preserve">all seven named</t>
        </r>
      </text>
    </comment>
    <comment ref="R74" authorId="0">
      <text>
        <r>
          <rPr>
            <sz val="10"/>
            <rFont val="Arial"/>
            <family val="2"/>
          </rPr>
          <t xml:space="preserve">all seven named</t>
        </r>
      </text>
    </comment>
    <comment ref="R75" authorId="0">
      <text>
        <r>
          <rPr>
            <sz val="10"/>
            <rFont val="Arial"/>
            <family val="2"/>
          </rPr>
          <t xml:space="preserve">all seven named</t>
        </r>
      </text>
    </comment>
    <comment ref="R76" authorId="0">
      <text>
        <r>
          <rPr>
            <sz val="10"/>
            <rFont val="Arial"/>
            <family val="2"/>
          </rPr>
          <t xml:space="preserve">all seven named</t>
        </r>
      </text>
    </comment>
    <comment ref="R77" authorId="0">
      <text>
        <r>
          <rPr>
            <sz val="10"/>
            <rFont val="Arial"/>
            <family val="2"/>
          </rPr>
          <t xml:space="preserve">all seven named</t>
        </r>
      </text>
    </comment>
    <comment ref="R78" authorId="0">
      <text>
        <r>
          <rPr>
            <sz val="10"/>
            <rFont val="Arial"/>
            <family val="2"/>
          </rPr>
          <t xml:space="preserve">all seven named</t>
        </r>
      </text>
    </comment>
    <comment ref="R79" authorId="0">
      <text>
        <r>
          <rPr>
            <sz val="10"/>
            <rFont val="Arial"/>
            <family val="2"/>
          </rPr>
          <t xml:space="preserve">all seven named</t>
        </r>
      </text>
    </comment>
    <comment ref="R80" authorId="0">
      <text>
        <r>
          <rPr>
            <sz val="10"/>
            <rFont val="Arial"/>
            <family val="2"/>
          </rPr>
          <t xml:space="preserve">all seven named</t>
        </r>
      </text>
    </comment>
    <comment ref="R81" authorId="0">
      <text>
        <r>
          <rPr>
            <sz val="10"/>
            <rFont val="Arial"/>
            <family val="2"/>
          </rPr>
          <t xml:space="preserve">all seven named</t>
        </r>
      </text>
    </comment>
    <comment ref="R82" authorId="0">
      <text>
        <r>
          <rPr>
            <sz val="10"/>
            <rFont val="Arial"/>
            <family val="2"/>
          </rPr>
          <t xml:space="preserve">all seven named</t>
        </r>
      </text>
    </comment>
    <comment ref="R83" authorId="0">
      <text>
        <r>
          <rPr>
            <sz val="10"/>
            <rFont val="Arial"/>
            <family val="2"/>
          </rPr>
          <t xml:space="preserve">all seven named</t>
        </r>
      </text>
    </comment>
    <comment ref="R84" authorId="0">
      <text>
        <r>
          <rPr>
            <sz val="10"/>
            <rFont val="Arial"/>
            <family val="2"/>
          </rPr>
          <t xml:space="preserve">all seven named</t>
        </r>
      </text>
    </comment>
    <comment ref="R85" authorId="0">
      <text>
        <r>
          <rPr>
            <sz val="10"/>
            <rFont val="Arial"/>
            <family val="2"/>
          </rPr>
          <t xml:space="preserve">all seven named</t>
        </r>
      </text>
    </comment>
    <comment ref="R86" authorId="0">
      <text>
        <r>
          <rPr>
            <sz val="10"/>
            <rFont val="Arial"/>
            <family val="2"/>
          </rPr>
          <t xml:space="preserve">all seven named</t>
        </r>
      </text>
    </comment>
    <comment ref="R87" authorId="0">
      <text>
        <r>
          <rPr>
            <sz val="10"/>
            <rFont val="Arial"/>
            <family val="2"/>
          </rPr>
          <t xml:space="preserve">all seven named</t>
        </r>
      </text>
    </comment>
    <comment ref="R88" authorId="0">
      <text>
        <r>
          <rPr>
            <sz val="10"/>
            <rFont val="Arial"/>
            <family val="2"/>
          </rPr>
          <t xml:space="preserve">all seven named</t>
        </r>
      </text>
    </comment>
    <comment ref="R89" authorId="0">
      <text>
        <r>
          <rPr>
            <sz val="10"/>
            <rFont val="Arial"/>
            <family val="2"/>
          </rPr>
          <t xml:space="preserve">all seven named</t>
        </r>
      </text>
    </comment>
    <comment ref="R90" authorId="0">
      <text>
        <r>
          <rPr>
            <sz val="10"/>
            <rFont val="Arial"/>
            <family val="2"/>
          </rPr>
          <t xml:space="preserve">all seven named</t>
        </r>
      </text>
    </comment>
    <comment ref="R91" authorId="0">
      <text>
        <r>
          <rPr>
            <sz val="10"/>
            <rFont val="Arial"/>
            <family val="2"/>
          </rPr>
          <t xml:space="preserve">all seven named</t>
        </r>
      </text>
    </comment>
    <comment ref="S2" authorId="0">
      <text>
        <r>
          <rPr>
            <sz val="10"/>
            <rFont val="Arial"/>
            <family val="2"/>
          </rPr>
          <t xml:space="preserve">4 FAQs</t>
        </r>
      </text>
    </comment>
    <comment ref="S3" authorId="0">
      <text>
        <r>
          <rPr>
            <sz val="10"/>
            <rFont val="Arial"/>
            <family val="2"/>
          </rPr>
          <t xml:space="preserve">4 FAQs</t>
        </r>
      </text>
    </comment>
    <comment ref="S4" authorId="0">
      <text>
        <r>
          <rPr>
            <sz val="10"/>
            <rFont val="Arial"/>
            <family val="2"/>
          </rPr>
          <t xml:space="preserve">4 FAQs</t>
        </r>
      </text>
    </comment>
    <comment ref="S5" authorId="0">
      <text>
        <r>
          <rPr>
            <sz val="10"/>
            <rFont val="Arial"/>
            <family val="2"/>
          </rPr>
          <t xml:space="preserve">4 FAQs</t>
        </r>
      </text>
    </comment>
    <comment ref="S6" authorId="0">
      <text>
        <r>
          <rPr>
            <sz val="10"/>
            <rFont val="Arial"/>
            <family val="2"/>
          </rPr>
          <t xml:space="preserve">4 FAQs</t>
        </r>
      </text>
    </comment>
    <comment ref="S7" authorId="0">
      <text>
        <r>
          <rPr>
            <sz val="10"/>
            <rFont val="Arial"/>
            <family val="2"/>
          </rPr>
          <t xml:space="preserve">4 FAQs</t>
        </r>
      </text>
    </comment>
    <comment ref="S8" authorId="0">
      <text>
        <r>
          <rPr>
            <sz val="10"/>
            <rFont val="Arial"/>
            <family val="2"/>
          </rPr>
          <t xml:space="preserve">4 FAQs</t>
        </r>
      </text>
    </comment>
    <comment ref="S9" authorId="0">
      <text>
        <r>
          <rPr>
            <sz val="10"/>
            <rFont val="Arial"/>
            <family val="2"/>
          </rPr>
          <t xml:space="preserve">4 FAQs</t>
        </r>
      </text>
    </comment>
    <comment ref="S10" authorId="0">
      <text>
        <r>
          <rPr>
            <sz val="10"/>
            <rFont val="Arial"/>
            <family val="2"/>
          </rPr>
          <t xml:space="preserve">4 FAQs</t>
        </r>
      </text>
    </comment>
    <comment ref="S11" authorId="0">
      <text>
        <r>
          <rPr>
            <sz val="10"/>
            <rFont val="Arial"/>
            <family val="2"/>
          </rPr>
          <t xml:space="preserve">4 FAQs</t>
        </r>
      </text>
    </comment>
    <comment ref="S12" authorId="0">
      <text>
        <r>
          <rPr>
            <sz val="10"/>
            <rFont val="Arial"/>
            <family val="2"/>
          </rPr>
          <t xml:space="preserve">4 FAQs</t>
        </r>
      </text>
    </comment>
    <comment ref="S13" authorId="0">
      <text>
        <r>
          <rPr>
            <sz val="10"/>
            <rFont val="Arial"/>
            <family val="2"/>
          </rPr>
          <t xml:space="preserve">5 FAQs</t>
        </r>
      </text>
    </comment>
    <comment ref="S14" authorId="0">
      <text>
        <r>
          <rPr>
            <sz val="10"/>
            <rFont val="Arial"/>
            <family val="2"/>
          </rPr>
          <t xml:space="preserve">4 FAQs</t>
        </r>
      </text>
    </comment>
    <comment ref="S15" authorId="0">
      <text>
        <r>
          <rPr>
            <sz val="10"/>
            <rFont val="Arial"/>
            <family val="2"/>
          </rPr>
          <t xml:space="preserve">4 FAQs</t>
        </r>
      </text>
    </comment>
    <comment ref="S16" authorId="0">
      <text>
        <r>
          <rPr>
            <sz val="10"/>
            <rFont val="Arial"/>
            <family val="2"/>
          </rPr>
          <t xml:space="preserve">6 FAQs</t>
        </r>
      </text>
    </comment>
    <comment ref="S17" authorId="0">
      <text>
        <r>
          <rPr>
            <sz val="10"/>
            <rFont val="Arial"/>
            <family val="2"/>
          </rPr>
          <t xml:space="preserve">5 FAQs</t>
        </r>
      </text>
    </comment>
    <comment ref="S18" authorId="0">
      <text>
        <r>
          <rPr>
            <sz val="10"/>
            <rFont val="Arial"/>
            <family val="2"/>
          </rPr>
          <t xml:space="preserve">5 FAQs</t>
        </r>
      </text>
    </comment>
    <comment ref="S19" authorId="0">
      <text>
        <r>
          <rPr>
            <sz val="10"/>
            <rFont val="Arial"/>
            <family val="2"/>
          </rPr>
          <t xml:space="preserve">4 FAQs</t>
        </r>
      </text>
    </comment>
    <comment ref="S20" authorId="0">
      <text>
        <r>
          <rPr>
            <sz val="10"/>
            <rFont val="Arial"/>
            <family val="2"/>
          </rPr>
          <t xml:space="preserve">5 FAQs</t>
        </r>
      </text>
    </comment>
    <comment ref="S21" authorId="0">
      <text>
        <r>
          <rPr>
            <sz val="10"/>
            <rFont val="Arial"/>
            <family val="2"/>
          </rPr>
          <t xml:space="preserve">4 FAQs</t>
        </r>
      </text>
    </comment>
    <comment ref="S22" authorId="0">
      <text>
        <r>
          <rPr>
            <sz val="10"/>
            <rFont val="Arial"/>
            <family val="2"/>
          </rPr>
          <t xml:space="preserve">3 FAQs</t>
        </r>
      </text>
    </comment>
    <comment ref="S23" authorId="0">
      <text>
        <r>
          <rPr>
            <sz val="10"/>
            <rFont val="Arial"/>
            <family val="2"/>
          </rPr>
          <t xml:space="preserve">4 FAQs</t>
        </r>
      </text>
    </comment>
    <comment ref="S24" authorId="0">
      <text>
        <r>
          <rPr>
            <sz val="10"/>
            <rFont val="Arial"/>
            <family val="2"/>
          </rPr>
          <t xml:space="preserve">4 FAQs</t>
        </r>
      </text>
    </comment>
    <comment ref="S25" authorId="0">
      <text>
        <r>
          <rPr>
            <sz val="10"/>
            <rFont val="Arial"/>
            <family val="2"/>
          </rPr>
          <t xml:space="preserve">4 FAQs</t>
        </r>
      </text>
    </comment>
    <comment ref="S26" authorId="0">
      <text>
        <r>
          <rPr>
            <sz val="10"/>
            <rFont val="Arial"/>
            <family val="2"/>
          </rPr>
          <t xml:space="preserve">4 FAQs</t>
        </r>
      </text>
    </comment>
    <comment ref="S27" authorId="0">
      <text>
        <r>
          <rPr>
            <sz val="10"/>
            <rFont val="Arial"/>
            <family val="2"/>
          </rPr>
          <t xml:space="preserve">4 FAQs</t>
        </r>
      </text>
    </comment>
    <comment ref="S28" authorId="0">
      <text>
        <r>
          <rPr>
            <sz val="10"/>
            <rFont val="Arial"/>
            <family val="2"/>
          </rPr>
          <t xml:space="preserve">4 FAQs</t>
        </r>
      </text>
    </comment>
    <comment ref="S29" authorId="0">
      <text>
        <r>
          <rPr>
            <sz val="10"/>
            <rFont val="Arial"/>
            <family val="2"/>
          </rPr>
          <t xml:space="preserve">4 FAQs</t>
        </r>
      </text>
    </comment>
    <comment ref="S30" authorId="0">
      <text>
        <r>
          <rPr>
            <sz val="10"/>
            <rFont val="Arial"/>
            <family val="2"/>
          </rPr>
          <t xml:space="preserve">4 FAQs</t>
        </r>
      </text>
    </comment>
    <comment ref="S31" authorId="0">
      <text>
        <r>
          <rPr>
            <sz val="10"/>
            <rFont val="Arial"/>
            <family val="2"/>
          </rPr>
          <t xml:space="preserve">4 FAQs</t>
        </r>
      </text>
    </comment>
    <comment ref="S32" authorId="0">
      <text>
        <r>
          <rPr>
            <sz val="10"/>
            <rFont val="Arial"/>
            <family val="2"/>
          </rPr>
          <t xml:space="preserve">5 FAQs</t>
        </r>
      </text>
    </comment>
    <comment ref="S33" authorId="0">
      <text>
        <r>
          <rPr>
            <sz val="10"/>
            <rFont val="Arial"/>
            <family val="2"/>
          </rPr>
          <t xml:space="preserve">5 FAQs</t>
        </r>
      </text>
    </comment>
    <comment ref="S34" authorId="0">
      <text>
        <r>
          <rPr>
            <sz val="10"/>
            <rFont val="Arial"/>
            <family val="2"/>
          </rPr>
          <t xml:space="preserve">4 FAQs</t>
        </r>
      </text>
    </comment>
    <comment ref="S35" authorId="0">
      <text>
        <r>
          <rPr>
            <sz val="10"/>
            <rFont val="Arial"/>
            <family val="2"/>
          </rPr>
          <t xml:space="preserve">4 FAQs</t>
        </r>
      </text>
    </comment>
    <comment ref="S36" authorId="0">
      <text>
        <r>
          <rPr>
            <sz val="10"/>
            <rFont val="Arial"/>
            <family val="2"/>
          </rPr>
          <t xml:space="preserve">4 FAQs</t>
        </r>
      </text>
    </comment>
    <comment ref="S37" authorId="0">
      <text>
        <r>
          <rPr>
            <sz val="10"/>
            <rFont val="Arial"/>
            <family val="2"/>
          </rPr>
          <t xml:space="preserve">4 FAQs</t>
        </r>
      </text>
    </comment>
    <comment ref="S38" authorId="0">
      <text>
        <r>
          <rPr>
            <sz val="10"/>
            <rFont val="Arial"/>
            <family val="2"/>
          </rPr>
          <t xml:space="preserve">4 FAQs</t>
        </r>
      </text>
    </comment>
    <comment ref="S39" authorId="0">
      <text>
        <r>
          <rPr>
            <sz val="10"/>
            <rFont val="Arial"/>
            <family val="2"/>
          </rPr>
          <t xml:space="preserve">6 FAQs</t>
        </r>
      </text>
    </comment>
    <comment ref="S40" authorId="0">
      <text>
        <r>
          <rPr>
            <sz val="10"/>
            <rFont val="Arial"/>
            <family val="2"/>
          </rPr>
          <t xml:space="preserve">4 FAQs</t>
        </r>
      </text>
    </comment>
    <comment ref="S41" authorId="0">
      <text>
        <r>
          <rPr>
            <sz val="10"/>
            <rFont val="Arial"/>
            <family val="2"/>
          </rPr>
          <t xml:space="preserve">5 FAQs</t>
        </r>
      </text>
    </comment>
    <comment ref="S42" authorId="0">
      <text>
        <r>
          <rPr>
            <sz val="10"/>
            <rFont val="Arial"/>
            <family val="2"/>
          </rPr>
          <t xml:space="preserve">5 FAQs</t>
        </r>
      </text>
    </comment>
    <comment ref="S43" authorId="0">
      <text>
        <r>
          <rPr>
            <sz val="10"/>
            <rFont val="Arial"/>
            <family val="2"/>
          </rPr>
          <t xml:space="preserve">5 FAQs</t>
        </r>
      </text>
    </comment>
    <comment ref="S44" authorId="0">
      <text>
        <r>
          <rPr>
            <sz val="10"/>
            <rFont val="Arial"/>
            <family val="2"/>
          </rPr>
          <t xml:space="preserve">6 FAQs</t>
        </r>
      </text>
    </comment>
    <comment ref="S45" authorId="0">
      <text>
        <r>
          <rPr>
            <sz val="10"/>
            <rFont val="Arial"/>
            <family val="2"/>
          </rPr>
          <t xml:space="preserve">5 FAQs</t>
        </r>
      </text>
    </comment>
    <comment ref="S46" authorId="0">
      <text>
        <r>
          <rPr>
            <sz val="10"/>
            <rFont val="Arial"/>
            <family val="2"/>
          </rPr>
          <t xml:space="preserve">5 FAQs</t>
        </r>
      </text>
    </comment>
    <comment ref="S47" authorId="0">
      <text>
        <r>
          <rPr>
            <sz val="10"/>
            <rFont val="Arial"/>
            <family val="2"/>
          </rPr>
          <t xml:space="preserve">5 FAQs</t>
        </r>
      </text>
    </comment>
    <comment ref="S48" authorId="0">
      <text>
        <r>
          <rPr>
            <sz val="10"/>
            <rFont val="Arial"/>
            <family val="2"/>
          </rPr>
          <t xml:space="preserve">5 FAQs</t>
        </r>
      </text>
    </comment>
    <comment ref="S49" authorId="0">
      <text>
        <r>
          <rPr>
            <sz val="10"/>
            <rFont val="Arial"/>
            <family val="2"/>
          </rPr>
          <t xml:space="preserve">4 FAQs</t>
        </r>
      </text>
    </comment>
    <comment ref="S50" authorId="0">
      <text>
        <r>
          <rPr>
            <sz val="10"/>
            <rFont val="Arial"/>
            <family val="2"/>
          </rPr>
          <t xml:space="preserve">5 FAQs</t>
        </r>
      </text>
    </comment>
    <comment ref="S51" authorId="0">
      <text>
        <r>
          <rPr>
            <sz val="10"/>
            <rFont val="Arial"/>
            <family val="2"/>
          </rPr>
          <t xml:space="preserve">5 FAQs</t>
        </r>
      </text>
    </comment>
    <comment ref="S52" authorId="0">
      <text>
        <r>
          <rPr>
            <sz val="10"/>
            <rFont val="Arial"/>
            <family val="2"/>
          </rPr>
          <t xml:space="preserve">4 FAQs</t>
        </r>
      </text>
    </comment>
    <comment ref="S53" authorId="0">
      <text>
        <r>
          <rPr>
            <sz val="10"/>
            <rFont val="Arial"/>
            <family val="2"/>
          </rPr>
          <t xml:space="preserve">4 FAQs</t>
        </r>
      </text>
    </comment>
    <comment ref="S54" authorId="0">
      <text>
        <r>
          <rPr>
            <sz val="10"/>
            <rFont val="Arial"/>
            <family val="2"/>
          </rPr>
          <t xml:space="preserve">4 FAQs</t>
        </r>
      </text>
    </comment>
    <comment ref="S55" authorId="0">
      <text>
        <r>
          <rPr>
            <sz val="10"/>
            <rFont val="Arial"/>
            <family val="2"/>
          </rPr>
          <t xml:space="preserve">4 FAQs</t>
        </r>
      </text>
    </comment>
    <comment ref="S56" authorId="0">
      <text>
        <r>
          <rPr>
            <sz val="10"/>
            <rFont val="Arial"/>
            <family val="2"/>
          </rPr>
          <t xml:space="preserve">4 FAQs</t>
        </r>
      </text>
    </comment>
    <comment ref="S57" authorId="0">
      <text>
        <r>
          <rPr>
            <sz val="10"/>
            <rFont val="Arial"/>
            <family val="2"/>
          </rPr>
          <t xml:space="preserve">4 FAQs</t>
        </r>
      </text>
    </comment>
    <comment ref="S58" authorId="0">
      <text>
        <r>
          <rPr>
            <sz val="10"/>
            <rFont val="Arial"/>
            <family val="2"/>
          </rPr>
          <t xml:space="preserve">4 FAQs</t>
        </r>
      </text>
    </comment>
    <comment ref="S59" authorId="0">
      <text>
        <r>
          <rPr>
            <sz val="10"/>
            <rFont val="Arial"/>
            <family val="2"/>
          </rPr>
          <t xml:space="preserve">5 FAQs</t>
        </r>
      </text>
    </comment>
    <comment ref="S60" authorId="0">
      <text>
        <r>
          <rPr>
            <sz val="10"/>
            <rFont val="Arial"/>
            <family val="2"/>
          </rPr>
          <t xml:space="preserve">5 FAQs</t>
        </r>
      </text>
    </comment>
    <comment ref="S61" authorId="0">
      <text>
        <r>
          <rPr>
            <sz val="10"/>
            <rFont val="Arial"/>
            <family val="2"/>
          </rPr>
          <t xml:space="preserve">4 FAQs</t>
        </r>
      </text>
    </comment>
    <comment ref="S62" authorId="0">
      <text>
        <r>
          <rPr>
            <sz val="10"/>
            <rFont val="Arial"/>
            <family val="2"/>
          </rPr>
          <t xml:space="preserve">4 FAQs</t>
        </r>
      </text>
    </comment>
    <comment ref="S63" authorId="0">
      <text>
        <r>
          <rPr>
            <sz val="10"/>
            <rFont val="Arial"/>
            <family val="2"/>
          </rPr>
          <t xml:space="preserve">6 FAQs</t>
        </r>
      </text>
    </comment>
    <comment ref="S64" authorId="0">
      <text>
        <r>
          <rPr>
            <sz val="10"/>
            <rFont val="Arial"/>
            <family val="2"/>
          </rPr>
          <t xml:space="preserve">4 FAQs</t>
        </r>
      </text>
    </comment>
    <comment ref="S65" authorId="0">
      <text>
        <r>
          <rPr>
            <sz val="10"/>
            <rFont val="Arial"/>
            <family val="2"/>
          </rPr>
          <t xml:space="preserve">5 FAQs</t>
        </r>
      </text>
    </comment>
    <comment ref="S66" authorId="0">
      <text>
        <r>
          <rPr>
            <sz val="10"/>
            <rFont val="Arial"/>
            <family val="2"/>
          </rPr>
          <t xml:space="preserve">4 FAQs</t>
        </r>
      </text>
    </comment>
    <comment ref="S67" authorId="0">
      <text>
        <r>
          <rPr>
            <sz val="10"/>
            <rFont val="Arial"/>
            <family val="2"/>
          </rPr>
          <t xml:space="preserve">5 FAQs</t>
        </r>
      </text>
    </comment>
    <comment ref="S68" authorId="0">
      <text>
        <r>
          <rPr>
            <sz val="10"/>
            <rFont val="Arial"/>
            <family val="2"/>
          </rPr>
          <t xml:space="preserve">4 FAQs</t>
        </r>
      </text>
    </comment>
    <comment ref="S69" authorId="0">
      <text>
        <r>
          <rPr>
            <sz val="10"/>
            <rFont val="Arial"/>
            <family val="2"/>
          </rPr>
          <t xml:space="preserve">4 FAQs</t>
        </r>
      </text>
    </comment>
    <comment ref="S70" authorId="0">
      <text>
        <r>
          <rPr>
            <sz val="10"/>
            <rFont val="Arial"/>
            <family val="2"/>
          </rPr>
          <t xml:space="preserve">5 FAQs</t>
        </r>
      </text>
    </comment>
    <comment ref="S71" authorId="0">
      <text>
        <r>
          <rPr>
            <sz val="10"/>
            <rFont val="Arial"/>
            <family val="2"/>
          </rPr>
          <t xml:space="preserve">5 FAQs</t>
        </r>
      </text>
    </comment>
    <comment ref="S72" authorId="0">
      <text>
        <r>
          <rPr>
            <sz val="10"/>
            <rFont val="Arial"/>
            <family val="2"/>
          </rPr>
          <t xml:space="preserve">5 FAQs</t>
        </r>
      </text>
    </comment>
    <comment ref="S73" authorId="0">
      <text>
        <r>
          <rPr>
            <sz val="10"/>
            <rFont val="Arial"/>
            <family val="2"/>
          </rPr>
          <t xml:space="preserve">4 FAQs</t>
        </r>
      </text>
    </comment>
    <comment ref="S74" authorId="0">
      <text>
        <r>
          <rPr>
            <sz val="10"/>
            <rFont val="Arial"/>
            <family val="2"/>
          </rPr>
          <t xml:space="preserve">4 FAQs</t>
        </r>
      </text>
    </comment>
    <comment ref="S75" authorId="0">
      <text>
        <r>
          <rPr>
            <sz val="10"/>
            <rFont val="Arial"/>
            <family val="2"/>
          </rPr>
          <t xml:space="preserve">5 FAQs</t>
        </r>
      </text>
    </comment>
    <comment ref="S76" authorId="0">
      <text>
        <r>
          <rPr>
            <sz val="10"/>
            <rFont val="Arial"/>
            <family val="2"/>
          </rPr>
          <t xml:space="preserve">4 FAQs</t>
        </r>
      </text>
    </comment>
    <comment ref="S77" authorId="0">
      <text>
        <r>
          <rPr>
            <sz val="10"/>
            <rFont val="Arial"/>
            <family val="2"/>
          </rPr>
          <t xml:space="preserve">4 FAQs</t>
        </r>
      </text>
    </comment>
    <comment ref="S78" authorId="0">
      <text>
        <r>
          <rPr>
            <sz val="10"/>
            <rFont val="Arial"/>
            <family val="2"/>
          </rPr>
          <t xml:space="preserve">4 FAQs</t>
        </r>
      </text>
    </comment>
    <comment ref="S79" authorId="0">
      <text>
        <r>
          <rPr>
            <sz val="10"/>
            <rFont val="Arial"/>
            <family val="2"/>
          </rPr>
          <t xml:space="preserve">4 FAQs</t>
        </r>
      </text>
    </comment>
    <comment ref="S80" authorId="0">
      <text>
        <r>
          <rPr>
            <sz val="10"/>
            <rFont val="Arial"/>
            <family val="2"/>
          </rPr>
          <t xml:space="preserve">4 FAQs</t>
        </r>
      </text>
    </comment>
    <comment ref="S81" authorId="0">
      <text>
        <r>
          <rPr>
            <sz val="10"/>
            <rFont val="Arial"/>
            <family val="2"/>
          </rPr>
          <t xml:space="preserve">6 FAQs</t>
        </r>
      </text>
    </comment>
    <comment ref="S82" authorId="0">
      <text>
        <r>
          <rPr>
            <sz val="10"/>
            <rFont val="Arial"/>
            <family val="2"/>
          </rPr>
          <t xml:space="preserve">4 FAQs</t>
        </r>
      </text>
    </comment>
    <comment ref="S83" authorId="0">
      <text>
        <r>
          <rPr>
            <sz val="10"/>
            <rFont val="Arial"/>
            <family val="2"/>
          </rPr>
          <t xml:space="preserve">5 FAQs</t>
        </r>
      </text>
    </comment>
    <comment ref="S84" authorId="0">
      <text>
        <r>
          <rPr>
            <sz val="10"/>
            <rFont val="Arial"/>
            <family val="2"/>
          </rPr>
          <t xml:space="preserve">4 FAQs</t>
        </r>
      </text>
    </comment>
    <comment ref="S85" authorId="0">
      <text>
        <r>
          <rPr>
            <sz val="10"/>
            <rFont val="Arial"/>
            <family val="2"/>
          </rPr>
          <t xml:space="preserve">5 FAQs</t>
        </r>
      </text>
    </comment>
    <comment ref="S86" authorId="0">
      <text>
        <r>
          <rPr>
            <sz val="10"/>
            <rFont val="Arial"/>
            <family val="2"/>
          </rPr>
          <t xml:space="preserve">5 FAQs</t>
        </r>
      </text>
    </comment>
    <comment ref="S87" authorId="0">
      <text>
        <r>
          <rPr>
            <sz val="10"/>
            <rFont val="Arial"/>
            <family val="2"/>
          </rPr>
          <t xml:space="preserve">4 FAQs</t>
        </r>
      </text>
    </comment>
    <comment ref="S88" authorId="0">
      <text>
        <r>
          <rPr>
            <sz val="10"/>
            <rFont val="Arial"/>
            <family val="2"/>
          </rPr>
          <t xml:space="preserve">5 FAQs</t>
        </r>
      </text>
    </comment>
    <comment ref="S89" authorId="0">
      <text>
        <r>
          <rPr>
            <sz val="10"/>
            <rFont val="Arial"/>
            <family val="2"/>
          </rPr>
          <t xml:space="preserve">4 FAQs</t>
        </r>
      </text>
    </comment>
    <comment ref="S90" authorId="0">
      <text>
        <r>
          <rPr>
            <sz val="10"/>
            <rFont val="Arial"/>
            <family val="2"/>
          </rPr>
          <t xml:space="preserve">5 FAQs</t>
        </r>
      </text>
    </comment>
    <comment ref="S91" authorId="0">
      <text>
        <r>
          <rPr>
            <sz val="10"/>
            <rFont val="Arial"/>
            <family val="2"/>
          </rPr>
          <t xml:space="preserve">60 FAQs</t>
        </r>
      </text>
    </comment>
    <comment ref="T2" authorId="0">
      <text>
        <r>
          <rPr>
            <sz val="10"/>
            <rFont val="Arial"/>
            <family val="2"/>
          </rPr>
          <t xml:space="preserve">5 takeaways</t>
        </r>
      </text>
    </comment>
    <comment ref="T3" authorId="0">
      <text>
        <r>
          <rPr>
            <sz val="10"/>
            <rFont val="Arial"/>
            <family val="2"/>
          </rPr>
          <t xml:space="preserve">5 takeaways</t>
        </r>
      </text>
    </comment>
    <comment ref="T4" authorId="0">
      <text>
        <r>
          <rPr>
            <sz val="10"/>
            <rFont val="Arial"/>
            <family val="2"/>
          </rPr>
          <t xml:space="preserve">4 takeaways</t>
        </r>
      </text>
    </comment>
    <comment ref="T5" authorId="0">
      <text>
        <r>
          <rPr>
            <sz val="10"/>
            <rFont val="Arial"/>
            <family val="2"/>
          </rPr>
          <t xml:space="preserve">4 takeaways</t>
        </r>
      </text>
    </comment>
    <comment ref="T6" authorId="0">
      <text>
        <r>
          <rPr>
            <sz val="10"/>
            <rFont val="Arial"/>
            <family val="2"/>
          </rPr>
          <t xml:space="preserve">5 takeaways</t>
        </r>
      </text>
    </comment>
    <comment ref="T7" authorId="0">
      <text>
        <r>
          <rPr>
            <sz val="10"/>
            <rFont val="Arial"/>
            <family val="2"/>
          </rPr>
          <t xml:space="preserve">5 takeaways</t>
        </r>
      </text>
    </comment>
    <comment ref="T8" authorId="0">
      <text>
        <r>
          <rPr>
            <sz val="10"/>
            <rFont val="Arial"/>
            <family val="2"/>
          </rPr>
          <t xml:space="preserve">4 takeaways</t>
        </r>
      </text>
    </comment>
    <comment ref="T9" authorId="0">
      <text>
        <r>
          <rPr>
            <sz val="10"/>
            <rFont val="Arial"/>
            <family val="2"/>
          </rPr>
          <t xml:space="preserve">5 takeaways</t>
        </r>
      </text>
    </comment>
    <comment ref="T10" authorId="0">
      <text>
        <r>
          <rPr>
            <sz val="10"/>
            <rFont val="Arial"/>
            <family val="2"/>
          </rPr>
          <t xml:space="preserve">5 takeaways</t>
        </r>
      </text>
    </comment>
    <comment ref="T11" authorId="0">
      <text>
        <r>
          <rPr>
            <sz val="10"/>
            <rFont val="Arial"/>
            <family val="2"/>
          </rPr>
          <t xml:space="preserve">4 takeaways</t>
        </r>
      </text>
    </comment>
    <comment ref="T12" authorId="0">
      <text>
        <r>
          <rPr>
            <sz val="10"/>
            <rFont val="Arial"/>
            <family val="2"/>
          </rPr>
          <t xml:space="preserve">4 takeaways</t>
        </r>
      </text>
    </comment>
    <comment ref="T13" authorId="0">
      <text>
        <r>
          <rPr>
            <sz val="10"/>
            <rFont val="Arial"/>
            <family val="2"/>
          </rPr>
          <t xml:space="preserve">5 takeaways</t>
        </r>
      </text>
    </comment>
    <comment ref="T14" authorId="0">
      <text>
        <r>
          <rPr>
            <sz val="10"/>
            <rFont val="Arial"/>
            <family val="2"/>
          </rPr>
          <t xml:space="preserve">5 takeaways</t>
        </r>
      </text>
    </comment>
    <comment ref="T15" authorId="0">
      <text>
        <r>
          <rPr>
            <sz val="10"/>
            <rFont val="Arial"/>
            <family val="2"/>
          </rPr>
          <t xml:space="preserve">4 takeaways</t>
        </r>
      </text>
    </comment>
    <comment ref="T16" authorId="0">
      <text>
        <r>
          <rPr>
            <sz val="10"/>
            <rFont val="Arial"/>
            <family val="2"/>
          </rPr>
          <t xml:space="preserve">5 takeaways</t>
        </r>
      </text>
    </comment>
    <comment ref="T17" authorId="0">
      <text>
        <r>
          <rPr>
            <sz val="10"/>
            <rFont val="Arial"/>
            <family val="2"/>
          </rPr>
          <t xml:space="preserve">5 takeaways</t>
        </r>
      </text>
    </comment>
    <comment ref="T18" authorId="0">
      <text>
        <r>
          <rPr>
            <sz val="10"/>
            <rFont val="Arial"/>
            <family val="2"/>
          </rPr>
          <t xml:space="preserve">4 takeaways</t>
        </r>
      </text>
    </comment>
    <comment ref="T19" authorId="0">
      <text>
        <r>
          <rPr>
            <sz val="10"/>
            <rFont val="Arial"/>
            <family val="2"/>
          </rPr>
          <t xml:space="preserve">4 takeaways</t>
        </r>
      </text>
    </comment>
    <comment ref="T20" authorId="0">
      <text>
        <r>
          <rPr>
            <sz val="10"/>
            <rFont val="Arial"/>
            <family val="2"/>
          </rPr>
          <t xml:space="preserve">4 takeaways</t>
        </r>
      </text>
    </comment>
    <comment ref="T21" authorId="0">
      <text>
        <r>
          <rPr>
            <sz val="10"/>
            <rFont val="Arial"/>
            <family val="2"/>
          </rPr>
          <t xml:space="preserve">5 takeaways</t>
        </r>
      </text>
    </comment>
    <comment ref="T22" authorId="0">
      <text>
        <r>
          <rPr>
            <sz val="10"/>
            <rFont val="Arial"/>
            <family val="2"/>
          </rPr>
          <t xml:space="preserve">5 takeaways</t>
        </r>
      </text>
    </comment>
    <comment ref="T23" authorId="0">
      <text>
        <r>
          <rPr>
            <sz val="10"/>
            <rFont val="Arial"/>
            <family val="2"/>
          </rPr>
          <t xml:space="preserve">5 takeaways</t>
        </r>
      </text>
    </comment>
    <comment ref="T24" authorId="0">
      <text>
        <r>
          <rPr>
            <sz val="10"/>
            <rFont val="Arial"/>
            <family val="2"/>
          </rPr>
          <t xml:space="preserve">5 takeaways</t>
        </r>
      </text>
    </comment>
    <comment ref="T25" authorId="0">
      <text>
        <r>
          <rPr>
            <sz val="10"/>
            <rFont val="Arial"/>
            <family val="2"/>
          </rPr>
          <t xml:space="preserve">5 takeaways</t>
        </r>
      </text>
    </comment>
    <comment ref="T26" authorId="0">
      <text>
        <r>
          <rPr>
            <sz val="10"/>
            <rFont val="Arial"/>
            <family val="2"/>
          </rPr>
          <t xml:space="preserve">5 takeaways</t>
        </r>
      </text>
    </comment>
    <comment ref="T27" authorId="0">
      <text>
        <r>
          <rPr>
            <sz val="10"/>
            <rFont val="Arial"/>
            <family val="2"/>
          </rPr>
          <t xml:space="preserve">5 takeaways</t>
        </r>
      </text>
    </comment>
    <comment ref="T28" authorId="0">
      <text>
        <r>
          <rPr>
            <sz val="10"/>
            <rFont val="Arial"/>
            <family val="2"/>
          </rPr>
          <t xml:space="preserve">5 takeaways</t>
        </r>
      </text>
    </comment>
    <comment ref="T29" authorId="0">
      <text>
        <r>
          <rPr>
            <sz val="10"/>
            <rFont val="Arial"/>
            <family val="2"/>
          </rPr>
          <t xml:space="preserve">5 takeaways</t>
        </r>
      </text>
    </comment>
    <comment ref="T30" authorId="0">
      <text>
        <r>
          <rPr>
            <sz val="10"/>
            <rFont val="Arial"/>
            <family val="2"/>
          </rPr>
          <t xml:space="preserve">5 takeaways</t>
        </r>
      </text>
    </comment>
    <comment ref="T31" authorId="0">
      <text>
        <r>
          <rPr>
            <sz val="10"/>
            <rFont val="Arial"/>
            <family val="2"/>
          </rPr>
          <t xml:space="preserve">5 takeaways</t>
        </r>
      </text>
    </comment>
    <comment ref="T32" authorId="0">
      <text>
        <r>
          <rPr>
            <sz val="10"/>
            <rFont val="Arial"/>
            <family val="2"/>
          </rPr>
          <t xml:space="preserve">5 takeaways</t>
        </r>
      </text>
    </comment>
    <comment ref="T33" authorId="0">
      <text>
        <r>
          <rPr>
            <sz val="10"/>
            <rFont val="Arial"/>
            <family val="2"/>
          </rPr>
          <t xml:space="preserve">5 takeaways</t>
        </r>
      </text>
    </comment>
    <comment ref="T34" authorId="0">
      <text>
        <r>
          <rPr>
            <sz val="10"/>
            <rFont val="Arial"/>
            <family val="2"/>
          </rPr>
          <t xml:space="preserve">5 takeaways</t>
        </r>
      </text>
    </comment>
    <comment ref="T35" authorId="0">
      <text>
        <r>
          <rPr>
            <sz val="10"/>
            <rFont val="Arial"/>
            <family val="2"/>
          </rPr>
          <t xml:space="preserve">5 takeaways</t>
        </r>
      </text>
    </comment>
    <comment ref="T36" authorId="0">
      <text>
        <r>
          <rPr>
            <sz val="10"/>
            <rFont val="Arial"/>
            <family val="2"/>
          </rPr>
          <t xml:space="preserve">5 takeaways</t>
        </r>
      </text>
    </comment>
    <comment ref="T37" authorId="0">
      <text>
        <r>
          <rPr>
            <sz val="10"/>
            <rFont val="Arial"/>
            <family val="2"/>
          </rPr>
          <t xml:space="preserve">5 takeaways</t>
        </r>
      </text>
    </comment>
    <comment ref="T38" authorId="0">
      <text>
        <r>
          <rPr>
            <sz val="10"/>
            <rFont val="Arial"/>
            <family val="2"/>
          </rPr>
          <t xml:space="preserve">5 takeaways</t>
        </r>
      </text>
    </comment>
    <comment ref="T39" authorId="0">
      <text>
        <r>
          <rPr>
            <sz val="10"/>
            <rFont val="Arial"/>
            <family val="2"/>
          </rPr>
          <t xml:space="preserve">5 takeaways</t>
        </r>
      </text>
    </comment>
    <comment ref="T40" authorId="0">
      <text>
        <r>
          <rPr>
            <sz val="10"/>
            <rFont val="Arial"/>
            <family val="2"/>
          </rPr>
          <t xml:space="preserve">5 takeaways</t>
        </r>
      </text>
    </comment>
    <comment ref="T41" authorId="0">
      <text>
        <r>
          <rPr>
            <sz val="10"/>
            <rFont val="Arial"/>
            <family val="2"/>
          </rPr>
          <t xml:space="preserve">5 takeaways</t>
        </r>
      </text>
    </comment>
    <comment ref="T42" authorId="0">
      <text>
        <r>
          <rPr>
            <sz val="10"/>
            <rFont val="Arial"/>
            <family val="2"/>
          </rPr>
          <t xml:space="preserve">5 takeaways</t>
        </r>
      </text>
    </comment>
    <comment ref="T43" authorId="0">
      <text>
        <r>
          <rPr>
            <sz val="10"/>
            <rFont val="Arial"/>
            <family val="2"/>
          </rPr>
          <t xml:space="preserve">5 takeaways</t>
        </r>
      </text>
    </comment>
    <comment ref="T44" authorId="0">
      <text>
        <r>
          <rPr>
            <sz val="10"/>
            <rFont val="Arial"/>
            <family val="2"/>
          </rPr>
          <t xml:space="preserve">5 takeaways</t>
        </r>
      </text>
    </comment>
    <comment ref="T45" authorId="0">
      <text>
        <r>
          <rPr>
            <sz val="10"/>
            <rFont val="Arial"/>
            <family val="2"/>
          </rPr>
          <t xml:space="preserve">5 takeaways</t>
        </r>
      </text>
    </comment>
    <comment ref="T46" authorId="0">
      <text>
        <r>
          <rPr>
            <sz val="10"/>
            <rFont val="Arial"/>
            <family val="2"/>
          </rPr>
          <t xml:space="preserve">5 takeaways</t>
        </r>
      </text>
    </comment>
    <comment ref="T47" authorId="0">
      <text>
        <r>
          <rPr>
            <sz val="10"/>
            <rFont val="Arial"/>
            <family val="2"/>
          </rPr>
          <t xml:space="preserve">5 takeaways</t>
        </r>
      </text>
    </comment>
    <comment ref="T48" authorId="0">
      <text>
        <r>
          <rPr>
            <sz val="10"/>
            <rFont val="Arial"/>
            <family val="2"/>
          </rPr>
          <t xml:space="preserve">5 takeaways</t>
        </r>
      </text>
    </comment>
    <comment ref="T49" authorId="0">
      <text>
        <r>
          <rPr>
            <sz val="10"/>
            <rFont val="Arial"/>
            <family val="2"/>
          </rPr>
          <t xml:space="preserve">5 takeaways</t>
        </r>
      </text>
    </comment>
    <comment ref="T50" authorId="0">
      <text>
        <r>
          <rPr>
            <sz val="10"/>
            <rFont val="Arial"/>
            <family val="2"/>
          </rPr>
          <t xml:space="preserve">5 takeaways</t>
        </r>
      </text>
    </comment>
    <comment ref="T51" authorId="0">
      <text>
        <r>
          <rPr>
            <sz val="10"/>
            <rFont val="Arial"/>
            <family val="2"/>
          </rPr>
          <t xml:space="preserve">5 takeaways</t>
        </r>
      </text>
    </comment>
    <comment ref="T52" authorId="0">
      <text>
        <r>
          <rPr>
            <sz val="10"/>
            <rFont val="Arial"/>
            <family val="2"/>
          </rPr>
          <t xml:space="preserve">5 takeaways</t>
        </r>
      </text>
    </comment>
    <comment ref="T53" authorId="0">
      <text>
        <r>
          <rPr>
            <sz val="10"/>
            <rFont val="Arial"/>
            <family val="2"/>
          </rPr>
          <t xml:space="preserve">5 takeaways</t>
        </r>
      </text>
    </comment>
    <comment ref="T54" authorId="0">
      <text>
        <r>
          <rPr>
            <sz val="10"/>
            <rFont val="Arial"/>
            <family val="2"/>
          </rPr>
          <t xml:space="preserve">5 takeaways</t>
        </r>
      </text>
    </comment>
    <comment ref="T55" authorId="0">
      <text>
        <r>
          <rPr>
            <sz val="10"/>
            <rFont val="Arial"/>
            <family val="2"/>
          </rPr>
          <t xml:space="preserve">5 takeaways</t>
        </r>
      </text>
    </comment>
    <comment ref="T56" authorId="0">
      <text>
        <r>
          <rPr>
            <sz val="10"/>
            <rFont val="Arial"/>
            <family val="2"/>
          </rPr>
          <t xml:space="preserve">5 takeaways</t>
        </r>
      </text>
    </comment>
    <comment ref="T57" authorId="0">
      <text>
        <r>
          <rPr>
            <sz val="10"/>
            <rFont val="Arial"/>
            <family val="2"/>
          </rPr>
          <t xml:space="preserve">5 takeaways</t>
        </r>
      </text>
    </comment>
    <comment ref="T58" authorId="0">
      <text>
        <r>
          <rPr>
            <sz val="10"/>
            <rFont val="Arial"/>
            <family val="2"/>
          </rPr>
          <t xml:space="preserve">5 takeaways</t>
        </r>
      </text>
    </comment>
    <comment ref="T59" authorId="0">
      <text>
        <r>
          <rPr>
            <sz val="10"/>
            <rFont val="Arial"/>
            <family val="2"/>
          </rPr>
          <t xml:space="preserve">4 takeaways</t>
        </r>
      </text>
    </comment>
    <comment ref="T60" authorId="0">
      <text>
        <r>
          <rPr>
            <sz val="10"/>
            <rFont val="Arial"/>
            <family val="2"/>
          </rPr>
          <t xml:space="preserve">5 takeaways</t>
        </r>
      </text>
    </comment>
    <comment ref="T61" authorId="0">
      <text>
        <r>
          <rPr>
            <sz val="10"/>
            <rFont val="Arial"/>
            <family val="2"/>
          </rPr>
          <t xml:space="preserve">5 takeaways</t>
        </r>
      </text>
    </comment>
    <comment ref="T62" authorId="0">
      <text>
        <r>
          <rPr>
            <sz val="10"/>
            <rFont val="Arial"/>
            <family val="2"/>
          </rPr>
          <t xml:space="preserve">5 takeaways</t>
        </r>
      </text>
    </comment>
    <comment ref="T63" authorId="0">
      <text>
        <r>
          <rPr>
            <sz val="10"/>
            <rFont val="Arial"/>
            <family val="2"/>
          </rPr>
          <t xml:space="preserve">5 takeaways</t>
        </r>
      </text>
    </comment>
    <comment ref="T64" authorId="0">
      <text>
        <r>
          <rPr>
            <sz val="10"/>
            <rFont val="Arial"/>
            <family val="2"/>
          </rPr>
          <t xml:space="preserve">5 takeaways</t>
        </r>
      </text>
    </comment>
    <comment ref="T65" authorId="0">
      <text>
        <r>
          <rPr>
            <sz val="10"/>
            <rFont val="Arial"/>
            <family val="2"/>
          </rPr>
          <t xml:space="preserve">5 takeaways</t>
        </r>
      </text>
    </comment>
    <comment ref="T66" authorId="0">
      <text>
        <r>
          <rPr>
            <sz val="10"/>
            <rFont val="Arial"/>
            <family val="2"/>
          </rPr>
          <t xml:space="preserve">5 takeaways</t>
        </r>
      </text>
    </comment>
    <comment ref="T67" authorId="0">
      <text>
        <r>
          <rPr>
            <sz val="10"/>
            <rFont val="Arial"/>
            <family val="2"/>
          </rPr>
          <t xml:space="preserve">5 takeaways</t>
        </r>
      </text>
    </comment>
    <comment ref="T68" authorId="0">
      <text>
        <r>
          <rPr>
            <sz val="10"/>
            <rFont val="Arial"/>
            <family val="2"/>
          </rPr>
          <t xml:space="preserve">5 takeaways</t>
        </r>
      </text>
    </comment>
    <comment ref="T69" authorId="0">
      <text>
        <r>
          <rPr>
            <sz val="10"/>
            <rFont val="Arial"/>
            <family val="2"/>
          </rPr>
          <t xml:space="preserve">5 takeaways</t>
        </r>
      </text>
    </comment>
    <comment ref="T70" authorId="0">
      <text>
        <r>
          <rPr>
            <sz val="10"/>
            <rFont val="Arial"/>
            <family val="2"/>
          </rPr>
          <t xml:space="preserve">5 takeaways</t>
        </r>
      </text>
    </comment>
    <comment ref="T71" authorId="0">
      <text>
        <r>
          <rPr>
            <sz val="10"/>
            <rFont val="Arial"/>
            <family val="2"/>
          </rPr>
          <t xml:space="preserve">5 takeaways</t>
        </r>
      </text>
    </comment>
    <comment ref="T72" authorId="0">
      <text>
        <r>
          <rPr>
            <sz val="10"/>
            <rFont val="Arial"/>
            <family val="2"/>
          </rPr>
          <t xml:space="preserve">5 takeaways</t>
        </r>
      </text>
    </comment>
    <comment ref="T73" authorId="0">
      <text>
        <r>
          <rPr>
            <sz val="10"/>
            <rFont val="Arial"/>
            <family val="2"/>
          </rPr>
          <t xml:space="preserve">5 takeaways</t>
        </r>
      </text>
    </comment>
    <comment ref="T74" authorId="0">
      <text>
        <r>
          <rPr>
            <sz val="10"/>
            <rFont val="Arial"/>
            <family val="2"/>
          </rPr>
          <t xml:space="preserve">5 takeaways</t>
        </r>
      </text>
    </comment>
    <comment ref="T75" authorId="0">
      <text>
        <r>
          <rPr>
            <sz val="10"/>
            <rFont val="Arial"/>
            <family val="2"/>
          </rPr>
          <t xml:space="preserve">5 takeaways</t>
        </r>
      </text>
    </comment>
    <comment ref="T76" authorId="0">
      <text>
        <r>
          <rPr>
            <sz val="10"/>
            <rFont val="Arial"/>
            <family val="2"/>
          </rPr>
          <t xml:space="preserve">5 takeaways</t>
        </r>
      </text>
    </comment>
    <comment ref="T77" authorId="0">
      <text>
        <r>
          <rPr>
            <sz val="10"/>
            <rFont val="Arial"/>
            <family val="2"/>
          </rPr>
          <t xml:space="preserve">5 takeaways</t>
        </r>
      </text>
    </comment>
    <comment ref="T78" authorId="0">
      <text>
        <r>
          <rPr>
            <sz val="10"/>
            <rFont val="Arial"/>
            <family val="2"/>
          </rPr>
          <t xml:space="preserve">4 takeaways</t>
        </r>
      </text>
    </comment>
    <comment ref="T79" authorId="0">
      <text>
        <r>
          <rPr>
            <sz val="10"/>
            <rFont val="Arial"/>
            <family val="2"/>
          </rPr>
          <t xml:space="preserve">5 takeaways</t>
        </r>
      </text>
    </comment>
    <comment ref="T80" authorId="0">
      <text>
        <r>
          <rPr>
            <sz val="10"/>
            <rFont val="Arial"/>
            <family val="2"/>
          </rPr>
          <t xml:space="preserve">5 takeaways</t>
        </r>
      </text>
    </comment>
    <comment ref="T81" authorId="0">
      <text>
        <r>
          <rPr>
            <sz val="10"/>
            <rFont val="Arial"/>
            <family val="2"/>
          </rPr>
          <t xml:space="preserve">5 takeaways</t>
        </r>
      </text>
    </comment>
    <comment ref="T82" authorId="0">
      <text>
        <r>
          <rPr>
            <sz val="10"/>
            <rFont val="Arial"/>
            <family val="2"/>
          </rPr>
          <t xml:space="preserve">4 takeaways</t>
        </r>
      </text>
    </comment>
    <comment ref="T83" authorId="0">
      <text>
        <r>
          <rPr>
            <sz val="10"/>
            <rFont val="Arial"/>
            <family val="2"/>
          </rPr>
          <t xml:space="preserve">5 takeaways</t>
        </r>
      </text>
    </comment>
    <comment ref="T84" authorId="0">
      <text>
        <r>
          <rPr>
            <sz val="10"/>
            <rFont val="Arial"/>
            <family val="2"/>
          </rPr>
          <t xml:space="preserve">5 takeaways</t>
        </r>
      </text>
    </comment>
    <comment ref="T85" authorId="0">
      <text>
        <r>
          <rPr>
            <sz val="10"/>
            <rFont val="Arial"/>
            <family val="2"/>
          </rPr>
          <t xml:space="preserve">5 takeaways</t>
        </r>
      </text>
    </comment>
    <comment ref="T86" authorId="0">
      <text>
        <r>
          <rPr>
            <sz val="10"/>
            <rFont val="Arial"/>
            <family val="2"/>
          </rPr>
          <t xml:space="preserve">5 takeaways</t>
        </r>
      </text>
    </comment>
    <comment ref="T87" authorId="0">
      <text>
        <r>
          <rPr>
            <sz val="10"/>
            <rFont val="Arial"/>
            <family val="2"/>
          </rPr>
          <t xml:space="preserve">5 takeaways</t>
        </r>
      </text>
    </comment>
    <comment ref="T88" authorId="0">
      <text>
        <r>
          <rPr>
            <sz val="10"/>
            <rFont val="Arial"/>
            <family val="2"/>
          </rPr>
          <t xml:space="preserve">5 takeaways</t>
        </r>
      </text>
    </comment>
    <comment ref="T89" authorId="0">
      <text>
        <r>
          <rPr>
            <sz val="10"/>
            <rFont val="Arial"/>
            <family val="2"/>
          </rPr>
          <t xml:space="preserve">5 takeaways</t>
        </r>
      </text>
    </comment>
    <comment ref="T90" authorId="0">
      <text>
        <r>
          <rPr>
            <sz val="10"/>
            <rFont val="Arial"/>
            <family val="2"/>
          </rPr>
          <t xml:space="preserve">5 takeaways</t>
        </r>
      </text>
    </comment>
    <comment ref="T91" authorId="0">
      <text>
        <r>
          <rPr>
            <sz val="10"/>
            <rFont val="Arial"/>
            <family val="2"/>
          </rPr>
          <t xml:space="preserve">4 takeaways</t>
        </r>
      </text>
    </comment>
    <comment ref="U2" authorId="0">
      <text>
        <r>
          <rPr>
            <sz val="10"/>
            <rFont val="Arial"/>
            <family val="2"/>
          </rPr>
          <t xml:space="preserve">2821 words (body 2511); target 2200</t>
        </r>
      </text>
    </comment>
    <comment ref="U3" authorId="0">
      <text>
        <r>
          <rPr>
            <sz val="10"/>
            <rFont val="Arial"/>
            <family val="2"/>
          </rPr>
          <t xml:space="preserve">2516 words (body 2165); target 2400</t>
        </r>
      </text>
    </comment>
    <comment ref="U4" authorId="0">
      <text>
        <r>
          <rPr>
            <sz val="10"/>
            <rFont val="Arial"/>
            <family val="2"/>
          </rPr>
          <t xml:space="preserve">1971 words (body 1639); target 1800</t>
        </r>
      </text>
    </comment>
    <comment ref="U5" authorId="0">
      <text>
        <r>
          <rPr>
            <sz val="10"/>
            <rFont val="Arial"/>
            <family val="2"/>
          </rPr>
          <t xml:space="preserve">1676 words (body 1374); target 1400</t>
        </r>
      </text>
    </comment>
    <comment ref="U6" authorId="0">
      <text>
        <r>
          <rPr>
            <sz val="10"/>
            <rFont val="Arial"/>
            <family val="2"/>
          </rPr>
          <t xml:space="preserve">2246 words (body 1910); target 2000</t>
        </r>
      </text>
    </comment>
    <comment ref="U7" authorId="0">
      <text>
        <r>
          <rPr>
            <sz val="10"/>
            <rFont val="Arial"/>
            <family val="2"/>
          </rPr>
          <t xml:space="preserve">2474 words (body 2142); target 2600</t>
        </r>
      </text>
    </comment>
    <comment ref="U8" authorId="0">
      <text>
        <r>
          <rPr>
            <sz val="10"/>
            <rFont val="Arial"/>
            <family val="2"/>
          </rPr>
          <t xml:space="preserve">4669 words (body 438); target 4000</t>
        </r>
      </text>
    </comment>
    <comment ref="U9" authorId="0">
      <text>
        <r>
          <rPr>
            <sz val="10"/>
            <rFont val="Arial"/>
            <family val="2"/>
          </rPr>
          <t xml:space="preserve">1802 words (body 1475); target 1800</t>
        </r>
      </text>
    </comment>
    <comment ref="U10" authorId="0">
      <text>
        <r>
          <rPr>
            <sz val="10"/>
            <rFont val="Arial"/>
            <family val="2"/>
          </rPr>
          <t xml:space="preserve">2254 words (body 1905); target 2000</t>
        </r>
      </text>
    </comment>
    <comment ref="U11" authorId="0">
      <text>
        <r>
          <rPr>
            <sz val="10"/>
            <rFont val="Arial"/>
            <family val="2"/>
          </rPr>
          <t xml:space="preserve">2000 words (body 1706); target 1800</t>
        </r>
      </text>
    </comment>
    <comment ref="U12" authorId="0">
      <text>
        <r>
          <rPr>
            <sz val="10"/>
            <rFont val="Arial"/>
            <family val="2"/>
          </rPr>
          <t xml:space="preserve">1977 words (body 1663); target 2000</t>
        </r>
      </text>
    </comment>
    <comment ref="U13" authorId="0">
      <text>
        <r>
          <rPr>
            <sz val="10"/>
            <rFont val="Arial"/>
            <family val="2"/>
          </rPr>
          <t xml:space="preserve">2760 words (body 2383); target 2800</t>
        </r>
      </text>
    </comment>
    <comment ref="U14" authorId="0">
      <text>
        <r>
          <rPr>
            <sz val="10"/>
            <rFont val="Arial"/>
            <family val="2"/>
          </rPr>
          <t xml:space="preserve">2290 words (body 1985); target 2200</t>
        </r>
      </text>
    </comment>
    <comment ref="U15" authorId="0">
      <text>
        <r>
          <rPr>
            <sz val="10"/>
            <rFont val="Arial"/>
            <family val="2"/>
          </rPr>
          <t xml:space="preserve">1856 words (body 1535); target 1800</t>
        </r>
      </text>
    </comment>
    <comment ref="U16" authorId="0">
      <text>
        <r>
          <rPr>
            <sz val="10"/>
            <rFont val="Arial"/>
            <family val="2"/>
          </rPr>
          <t xml:space="preserve">2599 words (body 2157); target 2600</t>
        </r>
      </text>
    </comment>
    <comment ref="U17" authorId="0">
      <text>
        <r>
          <rPr>
            <sz val="10"/>
            <rFont val="Arial"/>
            <family val="2"/>
          </rPr>
          <t xml:space="preserve">2433 words (body 2030); target 2400</t>
        </r>
      </text>
    </comment>
    <comment ref="U18" authorId="0">
      <text>
        <r>
          <rPr>
            <sz val="10"/>
            <rFont val="Arial"/>
            <family val="2"/>
          </rPr>
          <t xml:space="preserve">1721 words (body 1353); target 1600</t>
        </r>
      </text>
    </comment>
    <comment ref="U19" authorId="0">
      <text>
        <r>
          <rPr>
            <sz val="10"/>
            <rFont val="Arial"/>
            <family val="2"/>
          </rPr>
          <t xml:space="preserve">1270 words (body 957); target 1200</t>
        </r>
      </text>
    </comment>
    <comment ref="U20" authorId="0">
      <text>
        <r>
          <rPr>
            <sz val="10"/>
            <rFont val="Arial"/>
            <family val="2"/>
          </rPr>
          <t xml:space="preserve">1836 words (body 1461); target 1800</t>
        </r>
      </text>
    </comment>
    <comment ref="U21" authorId="0">
      <text>
        <r>
          <rPr>
            <sz val="10"/>
            <rFont val="Arial"/>
            <family val="2"/>
          </rPr>
          <t xml:space="preserve">2400 words (body 2069); target 2000</t>
        </r>
      </text>
    </comment>
    <comment ref="U22" authorId="0">
      <text>
        <r>
          <rPr>
            <sz val="10"/>
            <rFont val="Arial"/>
            <family val="2"/>
          </rPr>
          <t xml:space="preserve">2063 words (body 1760); target 2200</t>
        </r>
      </text>
    </comment>
    <comment ref="U23" authorId="0">
      <text>
        <r>
          <rPr>
            <sz val="10"/>
            <rFont val="Arial"/>
            <family val="2"/>
          </rPr>
          <t xml:space="preserve">2533 words (body 2154); target 2600</t>
        </r>
      </text>
    </comment>
    <comment ref="U24" authorId="0">
      <text>
        <r>
          <rPr>
            <sz val="10"/>
            <rFont val="Arial"/>
            <family val="2"/>
          </rPr>
          <t xml:space="preserve">2188 words (body 1824); target 2400</t>
        </r>
      </text>
    </comment>
    <comment ref="U25" authorId="0">
      <text>
        <r>
          <rPr>
            <sz val="10"/>
            <rFont val="Arial"/>
            <family val="2"/>
          </rPr>
          <t xml:space="preserve">2417 words (body 2048); target 2600</t>
        </r>
      </text>
    </comment>
    <comment ref="U26" authorId="0">
      <text>
        <r>
          <rPr>
            <sz val="10"/>
            <rFont val="Arial"/>
            <family val="2"/>
          </rPr>
          <t xml:space="preserve">1382 words (body 1018); target 1200</t>
        </r>
      </text>
    </comment>
    <comment ref="U27" authorId="0">
      <text>
        <r>
          <rPr>
            <sz val="10"/>
            <rFont val="Arial"/>
            <family val="2"/>
          </rPr>
          <t xml:space="preserve">1983 words (body 1625); target 2200</t>
        </r>
      </text>
    </comment>
    <comment ref="U28" authorId="0">
      <text>
        <r>
          <rPr>
            <sz val="10"/>
            <rFont val="Arial"/>
            <family val="2"/>
          </rPr>
          <t xml:space="preserve">1794 words (body 1419); target 2000</t>
        </r>
      </text>
    </comment>
    <comment ref="U29" authorId="0">
      <text>
        <r>
          <rPr>
            <sz val="10"/>
            <rFont val="Arial"/>
            <family val="2"/>
          </rPr>
          <t xml:space="preserve">1510 words (body 1128); target 1600</t>
        </r>
      </text>
    </comment>
    <comment ref="U30" authorId="0">
      <text>
        <r>
          <rPr>
            <sz val="10"/>
            <rFont val="Arial"/>
            <family val="2"/>
          </rPr>
          <t xml:space="preserve">2121 words (body 1742); target 2000</t>
        </r>
      </text>
    </comment>
    <comment ref="U31" authorId="0">
      <text>
        <r>
          <rPr>
            <sz val="10"/>
            <rFont val="Arial"/>
            <family val="2"/>
          </rPr>
          <t xml:space="preserve">1966 words (body 1633); target 1400</t>
        </r>
      </text>
    </comment>
    <comment ref="U32" authorId="0">
      <text>
        <r>
          <rPr>
            <sz val="10"/>
            <rFont val="Arial"/>
            <family val="2"/>
          </rPr>
          <t xml:space="preserve">2211 words (body 1843); target 1800</t>
        </r>
      </text>
    </comment>
    <comment ref="U33" authorId="0">
      <text>
        <r>
          <rPr>
            <sz val="10"/>
            <rFont val="Arial"/>
            <family val="2"/>
          </rPr>
          <t xml:space="preserve">2939 words (body 2576); target 2600</t>
        </r>
      </text>
    </comment>
    <comment ref="U34" authorId="0">
      <text>
        <r>
          <rPr>
            <sz val="10"/>
            <rFont val="Arial"/>
            <family val="2"/>
          </rPr>
          <t xml:space="preserve">2484 words (body 2164); target 2400</t>
        </r>
      </text>
    </comment>
    <comment ref="U35" authorId="0">
      <text>
        <r>
          <rPr>
            <sz val="10"/>
            <rFont val="Arial"/>
            <family val="2"/>
          </rPr>
          <t xml:space="preserve">2527 words (body 2189); target 2400</t>
        </r>
      </text>
    </comment>
    <comment ref="U36" authorId="0">
      <text>
        <r>
          <rPr>
            <sz val="10"/>
            <rFont val="Arial"/>
            <family val="2"/>
          </rPr>
          <t xml:space="preserve">2448 words (body 2136); target 2200</t>
        </r>
      </text>
    </comment>
    <comment ref="U37" authorId="0">
      <text>
        <r>
          <rPr>
            <sz val="10"/>
            <rFont val="Arial"/>
            <family val="2"/>
          </rPr>
          <t xml:space="preserve">2525 words (body 2191); target 2400</t>
        </r>
      </text>
    </comment>
    <comment ref="U38" authorId="0">
      <text>
        <r>
          <rPr>
            <sz val="10"/>
            <rFont val="Arial"/>
            <family val="2"/>
          </rPr>
          <t xml:space="preserve">2530 words (body 2211); target 2400</t>
        </r>
      </text>
    </comment>
    <comment ref="U39" authorId="0">
      <text>
        <r>
          <rPr>
            <sz val="10"/>
            <rFont val="Arial"/>
            <family val="2"/>
          </rPr>
          <t xml:space="preserve">2819 words (body 2322); target 2600</t>
        </r>
      </text>
    </comment>
    <comment ref="U40" authorId="0">
      <text>
        <r>
          <rPr>
            <sz val="10"/>
            <rFont val="Arial"/>
            <family val="2"/>
          </rPr>
          <t xml:space="preserve">2380 words (body 2046); target 2000</t>
        </r>
      </text>
    </comment>
    <comment ref="U41" authorId="0">
      <text>
        <r>
          <rPr>
            <sz val="10"/>
            <rFont val="Arial"/>
            <family val="2"/>
          </rPr>
          <t xml:space="preserve">1669 words (body 1287); target 1600</t>
        </r>
      </text>
    </comment>
    <comment ref="U42" authorId="0">
      <text>
        <r>
          <rPr>
            <sz val="10"/>
            <rFont val="Arial"/>
            <family val="2"/>
          </rPr>
          <t xml:space="preserve">2321 words (body 1923); target 2400</t>
        </r>
      </text>
    </comment>
    <comment ref="U43" authorId="0">
      <text>
        <r>
          <rPr>
            <sz val="10"/>
            <rFont val="Arial"/>
            <family val="2"/>
          </rPr>
          <t xml:space="preserve">2745 words (body 2334); target 3000</t>
        </r>
      </text>
    </comment>
    <comment ref="U44" authorId="0">
      <text>
        <r>
          <rPr>
            <sz val="10"/>
            <rFont val="Arial"/>
            <family val="2"/>
          </rPr>
          <t xml:space="preserve">1547 words (body 1134); target 1600</t>
        </r>
      </text>
    </comment>
    <comment ref="U45" authorId="0">
      <text>
        <r>
          <rPr>
            <sz val="10"/>
            <rFont val="Arial"/>
            <family val="2"/>
          </rPr>
          <t xml:space="preserve">2150 words (body 1764); target 2400</t>
        </r>
      </text>
    </comment>
    <comment ref="U46" authorId="0">
      <text>
        <r>
          <rPr>
            <sz val="10"/>
            <rFont val="Arial"/>
            <family val="2"/>
          </rPr>
          <t xml:space="preserve">2548 words (body 2126); target 2800</t>
        </r>
      </text>
    </comment>
    <comment ref="U47" authorId="0">
      <text>
        <r>
          <rPr>
            <sz val="10"/>
            <rFont val="Arial"/>
            <family val="2"/>
          </rPr>
          <t xml:space="preserve">2750 words (body 2277); target 3200</t>
        </r>
      </text>
    </comment>
    <comment ref="U48" authorId="0">
      <text>
        <r>
          <rPr>
            <sz val="10"/>
            <rFont val="Arial"/>
            <family val="2"/>
          </rPr>
          <t xml:space="preserve">2104 words (body 1700); target 2200</t>
        </r>
      </text>
    </comment>
    <comment ref="U49" authorId="0">
      <text>
        <r>
          <rPr>
            <sz val="10"/>
            <rFont val="Arial"/>
            <family val="2"/>
          </rPr>
          <t xml:space="preserve">2524 words (body 2155); target 1800</t>
        </r>
      </text>
    </comment>
    <comment ref="U50" authorId="0">
      <text>
        <r>
          <rPr>
            <sz val="10"/>
            <rFont val="Arial"/>
            <family val="2"/>
          </rPr>
          <t xml:space="preserve">2691 words (body 2274); target 2400</t>
        </r>
      </text>
    </comment>
    <comment ref="U51" authorId="0">
      <text>
        <r>
          <rPr>
            <sz val="10"/>
            <rFont val="Arial"/>
            <family val="2"/>
          </rPr>
          <t xml:space="preserve">2258 words (body 1845); target 1800</t>
        </r>
      </text>
    </comment>
    <comment ref="U52" authorId="0">
      <text>
        <r>
          <rPr>
            <sz val="10"/>
            <rFont val="Arial"/>
            <family val="2"/>
          </rPr>
          <t xml:space="preserve">2188 words (body 1838); target 2000</t>
        </r>
      </text>
    </comment>
    <comment ref="U53" authorId="0">
      <text>
        <r>
          <rPr>
            <sz val="10"/>
            <rFont val="Arial"/>
            <family val="2"/>
          </rPr>
          <t xml:space="preserve">2290 words (body 1916); target 2000</t>
        </r>
      </text>
    </comment>
    <comment ref="U54" authorId="0">
      <text>
        <r>
          <rPr>
            <sz val="10"/>
            <rFont val="Arial"/>
            <family val="2"/>
          </rPr>
          <t xml:space="preserve">2694 words (body 2316); target 2600</t>
        </r>
      </text>
    </comment>
    <comment ref="U55" authorId="0">
      <text>
        <r>
          <rPr>
            <sz val="10"/>
            <rFont val="Arial"/>
            <family val="2"/>
          </rPr>
          <t xml:space="preserve">2823 words (body 2462); target 2800</t>
        </r>
      </text>
    </comment>
    <comment ref="U56" authorId="0">
      <text>
        <r>
          <rPr>
            <sz val="10"/>
            <rFont val="Arial"/>
            <family val="2"/>
          </rPr>
          <t xml:space="preserve">2976 words (body 2620); target 3000</t>
        </r>
      </text>
    </comment>
    <comment ref="U57" authorId="0">
      <text>
        <r>
          <rPr>
            <sz val="10"/>
            <rFont val="Arial"/>
            <family val="2"/>
          </rPr>
          <t xml:space="preserve">2551 words (body 2182); target 2200</t>
        </r>
      </text>
    </comment>
    <comment ref="U58" authorId="0">
      <text>
        <r>
          <rPr>
            <sz val="10"/>
            <rFont val="Arial"/>
            <family val="2"/>
          </rPr>
          <t xml:space="preserve">2205 words (body 1909); target 1800</t>
        </r>
      </text>
    </comment>
    <comment ref="U59" authorId="0">
      <text>
        <r>
          <rPr>
            <sz val="10"/>
            <rFont val="Arial"/>
            <family val="2"/>
          </rPr>
          <t xml:space="preserve">1868 words (body 1507); target 1600</t>
        </r>
      </text>
    </comment>
    <comment ref="U60" authorId="0">
      <text>
        <r>
          <rPr>
            <sz val="10"/>
            <rFont val="Arial"/>
            <family val="2"/>
          </rPr>
          <t xml:space="preserve">3138 words (body 2774); target 3000</t>
        </r>
      </text>
    </comment>
    <comment ref="U61" authorId="0">
      <text>
        <r>
          <rPr>
            <sz val="10"/>
            <rFont val="Arial"/>
            <family val="2"/>
          </rPr>
          <t xml:space="preserve">2940 words (body 2614); target 3400</t>
        </r>
      </text>
    </comment>
    <comment ref="U62" authorId="0">
      <text>
        <r>
          <rPr>
            <sz val="10"/>
            <rFont val="Arial"/>
            <family val="2"/>
          </rPr>
          <t xml:space="preserve">1974 words (body 1667); target 2000</t>
        </r>
      </text>
    </comment>
    <comment ref="U63" authorId="0">
      <text>
        <r>
          <rPr>
            <sz val="10"/>
            <rFont val="Arial"/>
            <family val="2"/>
          </rPr>
          <t xml:space="preserve">2352 words (body 1929); target 2400</t>
        </r>
      </text>
    </comment>
    <comment ref="U64" authorId="0">
      <text>
        <r>
          <rPr>
            <sz val="10"/>
            <rFont val="Arial"/>
            <family val="2"/>
          </rPr>
          <t xml:space="preserve">2055 words (body 1768); target 2200</t>
        </r>
      </text>
    </comment>
    <comment ref="U65" authorId="0">
      <text>
        <r>
          <rPr>
            <sz val="10"/>
            <rFont val="Arial"/>
            <family val="2"/>
          </rPr>
          <t xml:space="preserve">2375 words (body 2006); target 2600</t>
        </r>
      </text>
    </comment>
    <comment ref="U66" authorId="0">
      <text>
        <r>
          <rPr>
            <sz val="10"/>
            <rFont val="Arial"/>
            <family val="2"/>
          </rPr>
          <t xml:space="preserve">2000 words (body 1730); target 2000</t>
        </r>
      </text>
    </comment>
    <comment ref="U67" authorId="0">
      <text>
        <r>
          <rPr>
            <sz val="10"/>
            <rFont val="Arial"/>
            <family val="2"/>
          </rPr>
          <t xml:space="preserve">2772 words (body 2379); target 2200</t>
        </r>
      </text>
    </comment>
    <comment ref="U68" authorId="0">
      <text>
        <r>
          <rPr>
            <sz val="10"/>
            <rFont val="Arial"/>
            <family val="2"/>
          </rPr>
          <t xml:space="preserve">1997 words (body 1686); target 1800</t>
        </r>
      </text>
    </comment>
    <comment ref="U69" authorId="0">
      <text>
        <r>
          <rPr>
            <sz val="10"/>
            <rFont val="Arial"/>
            <family val="2"/>
          </rPr>
          <t xml:space="preserve">2008 words (body 1679); target 1800</t>
        </r>
      </text>
    </comment>
    <comment ref="U70" authorId="0">
      <text>
        <r>
          <rPr>
            <sz val="10"/>
            <rFont val="Arial"/>
            <family val="2"/>
          </rPr>
          <t xml:space="preserve">2710 words (body 2315); target 2600</t>
        </r>
      </text>
    </comment>
    <comment ref="U71" authorId="0">
      <text>
        <r>
          <rPr>
            <sz val="10"/>
            <rFont val="Arial"/>
            <family val="2"/>
          </rPr>
          <t xml:space="preserve">2551 words (body 2136); target 2600</t>
        </r>
      </text>
    </comment>
    <comment ref="U72" authorId="0">
      <text>
        <r>
          <rPr>
            <sz val="10"/>
            <rFont val="Arial"/>
            <family val="2"/>
          </rPr>
          <t xml:space="preserve">2462 words (body 2013); target 2400</t>
        </r>
      </text>
    </comment>
    <comment ref="U73" authorId="0">
      <text>
        <r>
          <rPr>
            <sz val="10"/>
            <rFont val="Arial"/>
            <family val="2"/>
          </rPr>
          <t xml:space="preserve">2130 words (body 1799); target 2000</t>
        </r>
      </text>
    </comment>
    <comment ref="U74" authorId="0">
      <text>
        <r>
          <rPr>
            <sz val="10"/>
            <rFont val="Arial"/>
            <family val="2"/>
          </rPr>
          <t xml:space="preserve">1992 words (body 1646); target 1800</t>
        </r>
      </text>
    </comment>
    <comment ref="U75" authorId="0">
      <text>
        <r>
          <rPr>
            <sz val="10"/>
            <rFont val="Arial"/>
            <family val="2"/>
          </rPr>
          <t xml:space="preserve">2467 words (body 2038); target 2400</t>
        </r>
      </text>
    </comment>
    <comment ref="U76" authorId="0">
      <text>
        <r>
          <rPr>
            <sz val="10"/>
            <rFont val="Arial"/>
            <family val="2"/>
          </rPr>
          <t xml:space="preserve">1918 words (body 1602); target 1600</t>
        </r>
      </text>
    </comment>
    <comment ref="U77" authorId="0">
      <text>
        <r>
          <rPr>
            <sz val="10"/>
            <rFont val="Arial"/>
            <family val="2"/>
          </rPr>
          <t xml:space="preserve">2299 words (body 1948); target 2200</t>
        </r>
      </text>
    </comment>
    <comment ref="U78" authorId="0">
      <text>
        <r>
          <rPr>
            <sz val="10"/>
            <rFont val="Arial"/>
            <family val="2"/>
          </rPr>
          <t xml:space="preserve">1906 words (body 1557); target 1600</t>
        </r>
      </text>
    </comment>
    <comment ref="U79" authorId="0">
      <text>
        <r>
          <rPr>
            <sz val="10"/>
            <rFont val="Arial"/>
            <family val="2"/>
          </rPr>
          <t xml:space="preserve">2094 words (body 1745); target 2200</t>
        </r>
      </text>
    </comment>
    <comment ref="U80" authorId="0">
      <text>
        <r>
          <rPr>
            <sz val="10"/>
            <rFont val="Arial"/>
            <family val="2"/>
          </rPr>
          <t xml:space="preserve">1901 words (body 1568); target 2000</t>
        </r>
      </text>
    </comment>
    <comment ref="U81" authorId="0">
      <text>
        <r>
          <rPr>
            <sz val="10"/>
            <rFont val="Arial"/>
            <family val="2"/>
          </rPr>
          <t xml:space="preserve">1657 words (body 1229); target 1600</t>
        </r>
      </text>
    </comment>
    <comment ref="U82" authorId="0">
      <text>
        <r>
          <rPr>
            <sz val="10"/>
            <rFont val="Arial"/>
            <family val="2"/>
          </rPr>
          <t xml:space="preserve">1812 words (body 1474); target 2000</t>
        </r>
      </text>
    </comment>
    <comment ref="U83" authorId="0">
      <text>
        <r>
          <rPr>
            <sz val="10"/>
            <rFont val="Arial"/>
            <family val="2"/>
          </rPr>
          <t xml:space="preserve">2094 words (body 1708); target 2400</t>
        </r>
      </text>
    </comment>
    <comment ref="U84" authorId="0">
      <text>
        <r>
          <rPr>
            <sz val="10"/>
            <rFont val="Arial"/>
            <family val="2"/>
          </rPr>
          <t xml:space="preserve">2078 words (body 1750); target 2400</t>
        </r>
      </text>
    </comment>
    <comment ref="U85" authorId="0">
      <text>
        <r>
          <rPr>
            <sz val="10"/>
            <rFont val="Arial"/>
            <family val="2"/>
          </rPr>
          <t xml:space="preserve">2234 words (body 1838); target 2400</t>
        </r>
      </text>
    </comment>
    <comment ref="U86" authorId="0">
      <text>
        <r>
          <rPr>
            <sz val="10"/>
            <rFont val="Arial"/>
            <family val="2"/>
          </rPr>
          <t xml:space="preserve">2352 words (body 1910); target 2000</t>
        </r>
      </text>
    </comment>
    <comment ref="U87" authorId="0">
      <text>
        <r>
          <rPr>
            <sz val="10"/>
            <rFont val="Arial"/>
            <family val="2"/>
          </rPr>
          <t xml:space="preserve">2639 words (body 2272); target 2400</t>
        </r>
      </text>
    </comment>
    <comment ref="U88" authorId="0">
      <text>
        <r>
          <rPr>
            <sz val="10"/>
            <rFont val="Arial"/>
            <family val="2"/>
          </rPr>
          <t xml:space="preserve">2385 words (body 1944); target 2000</t>
        </r>
      </text>
    </comment>
    <comment ref="U89" authorId="0">
      <text>
        <r>
          <rPr>
            <sz val="10"/>
            <rFont val="Arial"/>
            <family val="2"/>
          </rPr>
          <t xml:space="preserve">1686 words (body 1349); target 1600</t>
        </r>
      </text>
    </comment>
    <comment ref="U90" authorId="0">
      <text>
        <r>
          <rPr>
            <sz val="10"/>
            <rFont val="Arial"/>
            <family val="2"/>
          </rPr>
          <t xml:space="preserve">2463 words (body 2025); target 2600</t>
        </r>
      </text>
    </comment>
    <comment ref="U91" authorId="0">
      <text>
        <r>
          <rPr>
            <sz val="10"/>
            <rFont val="Arial"/>
            <family val="2"/>
          </rPr>
          <t xml:space="preserve">4639 words (body 251); target 4000</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Measured on the server 2026-10-12.</t>
        </r>
      </text>
    </comment>
  </commentList>
</comments>
</file>

<file path=xl/sharedStrings.xml><?xml version="1.0" encoding="utf-8"?>
<sst xmlns="http://schemas.openxmlformats.org/spreadsheetml/2006/main" count="12969" uniqueCount="2522">
  <si>
    <t xml:space="preserve">lmcmic.ca — SEO master sheet</t>
  </si>
  <si>
    <t xml:space="preserve">Lendmax Capital MIC investor site. Built from the live site on 2026-10-12. Source plan: content/data/seo-content-roadmap.xlsx (Tabs 1–3).</t>
  </si>
  <si>
    <t xml:space="preserve">Pages</t>
  </si>
  <si>
    <t xml:space="preserve">Indexable pages</t>
  </si>
  <si>
    <t xml:space="preserve">Every page in the Pages sheet</t>
  </si>
  <si>
    <t xml:space="preserve">Pages in the XML sitemap</t>
  </si>
  <si>
    <t xml:space="preserve">Should equal indexable pages</t>
  </si>
  <si>
    <t xml:space="preserve">Investor guides, tools, glossary and FAQ hub</t>
  </si>
  <si>
    <t xml:space="preserve">Titles inside 30–65 characters</t>
  </si>
  <si>
    <t xml:space="preserve">Pages sheet, column H</t>
  </si>
  <si>
    <t xml:space="preserve">Descriptions inside 120–160 characters</t>
  </si>
  <si>
    <t xml:space="preserve">Pages sheet, column K</t>
  </si>
  <si>
    <t xml:space="preserve">Canonical tag matches the URL</t>
  </si>
  <si>
    <t xml:space="preserve">Pages sheet, column Q</t>
  </si>
  <si>
    <t xml:space="preserve">Pages with the GA4 tag</t>
  </si>
  <si>
    <t xml:space="preserve">Total words on indexable pages</t>
  </si>
  <si>
    <t xml:space="preserve">Main content only</t>
  </si>
  <si>
    <t xml:space="preserve">Content quality</t>
  </si>
  <si>
    <t xml:space="preserve">Articles passing every automated check</t>
  </si>
  <si>
    <t xml:space="preserve">of 90 planned articles</t>
  </si>
  <si>
    <t xml:space="preserve">Internal links (in-content)</t>
  </si>
  <si>
    <t xml:space="preserve">Navigation and footer excluded</t>
  </si>
  <si>
    <t xml:space="preserve">Internal links pointing at a missing page</t>
  </si>
  <si>
    <t xml:space="preserve">Should be 0</t>
  </si>
  <si>
    <t xml:space="preserve">External links resolving from the server</t>
  </si>
  <si>
    <t xml:space="preserve">of 25; the rest block automated checks</t>
  </si>
  <si>
    <t xml:space="preserve">Keywords</t>
  </si>
  <si>
    <t xml:space="preserve">Workbook keywords</t>
  </si>
  <si>
    <t xml:space="preserve">Tab 1 of the source workbook</t>
  </si>
  <si>
    <t xml:space="preserve">Mapped to a live page</t>
  </si>
  <si>
    <t xml:space="preserve">Keyword terms present on their page</t>
  </si>
  <si>
    <t xml:space="preserve">Not built by design (workbook says do not build)</t>
  </si>
  <si>
    <t xml:space="preserve">Tier 1 quick-win keywords</t>
  </si>
  <si>
    <t xml:space="preserve">Action items</t>
  </si>
  <si>
    <t xml:space="preserve">BC Mortgage Services Act comes into force 13 October 2026</t>
  </si>
  <si>
    <t xml:space="preserve">Update the BC pages from 'scheduled to come into force' to 'in force', confirm licence categories with BCFSA (Tab 3 L1).</t>
  </si>
  <si>
    <t xml:space="preserve">Search Console</t>
  </si>
  <si>
    <t xml:space="preserve">Confirm the sitemap shows Success with 97 discovered URLs; watch Page indexing for the first two weeks.</t>
  </si>
  <si>
    <t xml:space="preserve">Keyword volumes</t>
  </si>
  <si>
    <t xml:space="preserve">Fill the yellow columns on the Keywords sheet from Keyword Planner / Ahrefs (Canada) and Search Console.</t>
  </si>
  <si>
    <t xml:space="preserve">Second-person calculation check (K10)</t>
  </si>
  <si>
    <t xml:space="preserve">Have a second person recompute the worked examples and record it on Content QA.</t>
  </si>
  <si>
    <t xml:space="preserve">Four external links</t>
  </si>
  <si>
    <t xml:space="preserve">Click through the links marked 'Check by hand' on External Links (sites that block automated checks).</t>
  </si>
  <si>
    <t xml:space="preserve">Photography</t>
  </si>
  <si>
    <t xml:space="preserve">Supply more photos to give articles their own featured images (Tab 2 image specs are ready).</t>
  </si>
  <si>
    <t xml:space="preserve">Quarterly review</t>
  </si>
  <si>
    <t xml:space="preserve">Re-check return figures and regulatory statements each quarter (next: January 2027).</t>
  </si>
  <si>
    <t xml:space="preserve">Sheets</t>
  </si>
  <si>
    <t xml:space="preserve">Every live page: title, description, H1, keywords, canonical, schema, words, links, images, QA.</t>
  </si>
  <si>
    <t xml:space="preserve">All 382 workbook keywords → the live page that targets them. Yellow columns are yours to fill.</t>
  </si>
  <si>
    <t xml:space="preserve">Content QA</t>
  </si>
  <si>
    <t xml:space="preserve">The Tab 3 pre-publication gate for all 90 articles, plus manual sign-offs.</t>
  </si>
  <si>
    <t xml:space="preserve">Internal Links</t>
  </si>
  <si>
    <t xml:space="preserve">Every in-content link with its anchor text.</t>
  </si>
  <si>
    <t xml:space="preserve">Redirects</t>
  </si>
  <si>
    <t xml:space="preserve">Canonical and legacy-URL redirect rules on the server.</t>
  </si>
  <si>
    <t xml:space="preserve">Images</t>
  </si>
  <si>
    <t xml:space="preserve">Photos and logos reused from lendmaxcapital.ca, every optimised size.</t>
  </si>
  <si>
    <t xml:space="preserve">External Links</t>
  </si>
  <si>
    <t xml:space="preserve">Outbound citations and whether each resolves.</t>
  </si>
  <si>
    <t xml:space="preserve">Technical SEO</t>
  </si>
  <si>
    <t xml:space="preserve">Domain, crawling, indexing, analytics, performance and security settings.</t>
  </si>
  <si>
    <t xml:space="preserve">SEO Checklist</t>
  </si>
  <si>
    <t xml:space="preserve">Tab 3 of the source workbook with how lmcmic.ca applies each rule.</t>
  </si>
  <si>
    <t xml:space="preserve">Legend</t>
  </si>
  <si>
    <t xml:space="preserve">Yellow cells</t>
  </si>
  <si>
    <t xml:space="preserve">Input cells for you to fill (e.g. Keywords: measured volume, Search Console position and clicks).</t>
  </si>
  <si>
    <t xml:space="preserve">Green / red / amber</t>
  </si>
  <si>
    <t xml:space="preserve">Pass / fail / needs review, set automatically by formulas and conditional formatting.</t>
  </si>
  <si>
    <t xml:space="preserve">#</t>
  </si>
  <si>
    <t xml:space="preserve">URL</t>
  </si>
  <si>
    <t xml:space="preserve">Page type</t>
  </si>
  <si>
    <t xml:space="preserve">Section / journey stage</t>
  </si>
  <si>
    <t xml:space="preserve">Priority</t>
  </si>
  <si>
    <t xml:space="preserve">Title tag</t>
  </si>
  <si>
    <t xml:space="preserve">Title length</t>
  </si>
  <si>
    <t xml:space="preserve">Title check</t>
  </si>
  <si>
    <t xml:space="preserve">Meta description</t>
  </si>
  <si>
    <t xml:space="preserve">Description length</t>
  </si>
  <si>
    <t xml:space="preserve">Description check</t>
  </si>
  <si>
    <t xml:space="preserve">H1</t>
  </si>
  <si>
    <t xml:space="preserve">Primary keyword</t>
  </si>
  <si>
    <t xml:space="preserve">Secondary keywords</t>
  </si>
  <si>
    <t xml:space="preserve">Question keyword</t>
  </si>
  <si>
    <t xml:space="preserve">Canonical URL</t>
  </si>
  <si>
    <t xml:space="preserve">Canonical matches</t>
  </si>
  <si>
    <t xml:space="preserve">Robots</t>
  </si>
  <si>
    <t xml:space="preserve">Structured data (schema.org)</t>
  </si>
  <si>
    <t xml:space="preserve">Words on page</t>
  </si>
  <si>
    <t xml:space="preserve">Internal links out</t>
  </si>
  <si>
    <t xml:space="preserve">Internal links in</t>
  </si>
  <si>
    <t xml:space="preserve">Share image (og:image)</t>
  </si>
  <si>
    <t xml:space="preserve">Photo</t>
  </si>
  <si>
    <t xml:space="preserve">Partner logos</t>
  </si>
  <si>
    <t xml:space="preserve">In sitemap</t>
  </si>
  <si>
    <t xml:space="preserve">GA4 tag</t>
  </si>
  <si>
    <t xml:space="preserve">Automated QA</t>
  </si>
  <si>
    <t xml:space="preserve">Last modified</t>
  </si>
  <si>
    <t xml:space="preserve">Live URL</t>
  </si>
  <si>
    <t xml:space="preserve">/</t>
  </si>
  <si>
    <t xml:space="preserve">Core page</t>
  </si>
  <si>
    <t xml:space="preserve">Investing with Lendmax</t>
  </si>
  <si>
    <t xml:space="preserve">Core</t>
  </si>
  <si>
    <t xml:space="preserve">MIC Investment in Canada | Lendmax Capital MIC</t>
  </si>
  <si>
    <t xml:space="preserve">Lendmax Capital MIC pools investor capital into residential first and second mortgages in Ontario, BC and Alberta. Quarterly distributions; RRSP/TFSA eligible.</t>
  </si>
  <si>
    <t xml:space="preserve">Invest in Canadian Mortgages Through a MIC</t>
  </si>
  <si>
    <t xml:space="preserve">MIC investment</t>
  </si>
  <si>
    <t xml:space="preserve">mortgage investment corporation Canada; invest in mortgages Canada; MIC investments Canada; mortgage investment Canada</t>
  </si>
  <si>
    <t xml:space="preserve">https://lmcmic.ca/</t>
  </si>
  <si>
    <t xml:space="preserve">index, follow, max-image-preview:large, max-snippet:-1, max-video-preview:-1</t>
  </si>
  <si>
    <t xml:space="preserve">Organization, FinancialService, WebSite, VideoObject, FAQPage</t>
  </si>
  <si>
    <t xml:space="preserve">https://lmcmic.ca/assets/og/home.png</t>
  </si>
  <si>
    <t xml:space="preserve">Yes</t>
  </si>
  <si>
    <t xml:space="preserve">n/a (core page)</t>
  </si>
  <si>
    <t xml:space="preserve">2026-10-03</t>
  </si>
  <si>
    <t xml:space="preserve">/contact/</t>
  </si>
  <si>
    <t xml:space="preserve">Mortgage Investment Opportunities Canada | Lendmax Capital MIC</t>
  </si>
  <si>
    <t xml:space="preserve">Ask about mortgage investment opportunities with Lendmax Capital MIC: request the offering memorandum, pick the best time to talk, then start your application.</t>
  </si>
  <si>
    <t xml:space="preserve">Mortgage Investment Opportunities: Contact the Investor Desk</t>
  </si>
  <si>
    <t xml:space="preserve">mortgage investment opportunities</t>
  </si>
  <si>
    <t xml:space="preserve">mortgage investment opportunities Canada; mortgage investment opportunities Ontario</t>
  </si>
  <si>
    <t xml:space="preserve">https://lmcmic.ca/contact/</t>
  </si>
  <si>
    <t xml:space="preserve">Organization, FinancialService, WebSite, FAQPage, ContactPage, BreadcrumbList</t>
  </si>
  <si>
    <t xml:space="preserve">https://lmcmic.ca/assets/og/contact.png</t>
  </si>
  <si>
    <t xml:space="preserve">/how-to-invest/</t>
  </si>
  <si>
    <t xml:space="preserve">Investor profiles and process</t>
  </si>
  <si>
    <t xml:space="preserve">P1</t>
  </si>
  <si>
    <t xml:space="preserve">How to Start Investing in Mortgages: Step by Step</t>
  </si>
  <si>
    <t xml:space="preserve">How to start investing in mortgages through a MIC: the four steps from application to quarterly distributions, the documents you need, and what to check.</t>
  </si>
  <si>
    <t xml:space="preserve">How to Start Investing in Mortgages: The Process Step by Step</t>
  </si>
  <si>
    <t xml:space="preserve">how to start investing in mortgages</t>
  </si>
  <si>
    <t xml:space="preserve">mortgage investment process steps; what documents do I need to invest in a MIC; how to invest in a MIC</t>
  </si>
  <si>
    <t xml:space="preserve">how do I invest in a MIC</t>
  </si>
  <si>
    <t xml:space="preserve">https://lmcmic.ca/how-to-invest/</t>
  </si>
  <si>
    <t xml:space="preserve">Organization, FinancialService, WebSite, HowTo, FAQPage, BreadcrumbList</t>
  </si>
  <si>
    <t xml:space="preserve">https://lmcmic.ca/assets/og/how-to-invest.png</t>
  </si>
  <si>
    <t xml:space="preserve">PASS</t>
  </si>
  <si>
    <t xml:space="preserve">/performance-and-risk/</t>
  </si>
  <si>
    <t xml:space="preserve">MIC Returns, Track Record &amp; Risk Management | Lendmax Capital MIC</t>
  </si>
  <si>
    <t xml:space="preserve">Lendmax Capital MIC's published net returns by fiscal year, how each mortgage is underwritten (asset, borrower, exit), portfolio controls and fund oversight.</t>
  </si>
  <si>
    <t xml:space="preserve">Track Record, Governance and Risk Management</t>
  </si>
  <si>
    <t xml:space="preserve">mortgage investment returns</t>
  </si>
  <si>
    <t xml:space="preserve">how does a MIC decide which mortgages to fund; how are mortgages underwritten for investors; how do I know if a MIC is well run</t>
  </si>
  <si>
    <t xml:space="preserve">https://lmcmic.ca/performance-and-risk/</t>
  </si>
  <si>
    <t xml:space="preserve">Organization, FinancialService, WebSite, FAQPage, BreadcrumbList</t>
  </si>
  <si>
    <t xml:space="preserve">https://lmcmic.ca/assets/og/performance-and-risk.png</t>
  </si>
  <si>
    <t xml:space="preserve">/why-invest-in-a-mic/</t>
  </si>
  <si>
    <t xml:space="preserve">Why Invest in a MIC? How a Mortgage Investment Corporation Works</t>
  </si>
  <si>
    <t xml:space="preserve">How a mortgage investment corporation works under section 130.1: tax flow-through, MIC vs direct mortgages vs REITs, RRSP/TFSA eligibility and fund custody.</t>
  </si>
  <si>
    <t xml:space="preserve">Why Invest in a MIC? How Lendmax Capital MIC Works</t>
  </si>
  <si>
    <t xml:space="preserve">how does a MIC work</t>
  </si>
  <si>
    <t xml:space="preserve">how do MICs work; section 130.1 Income Tax Act; MIC vs REIT; MIC vs direct mortgage investing</t>
  </si>
  <si>
    <t xml:space="preserve">https://lmcmic.ca/why-invest-in-a-mic/</t>
  </si>
  <si>
    <t xml:space="preserve">https://lmcmic.ca/assets/og/why-invest-in-a-mic.png</t>
  </si>
  <si>
    <t xml:space="preserve">/learn/</t>
  </si>
  <si>
    <t xml:space="preserve">Hub</t>
  </si>
  <si>
    <t xml:space="preserve">—</t>
  </si>
  <si>
    <t xml:space="preserve">Mortgage Investing in Canada: Guides | Lendmax Capital MIC</t>
  </si>
  <si>
    <t xml:space="preserve">Plain-language guides to mortgage investing in Canada: what a MIC is, where returns come from, risk, tax, RRSP/TFSA rules, regulation and due diligence.</t>
  </si>
  <si>
    <t xml:space="preserve">Mortgage Investing Guides for Canadian Investors</t>
  </si>
  <si>
    <t xml:space="preserve">https://lmcmic.ca/learn/</t>
  </si>
  <si>
    <t xml:space="preserve">Organization, FinancialService, WebSite, CollectionPage, BreadcrumbList</t>
  </si>
  <si>
    <t xml:space="preserve">https://lmcmic.ca/assets/og/learn.png</t>
  </si>
  <si>
    <t xml:space="preserve">/disclaimer/</t>
  </si>
  <si>
    <t xml:space="preserve">Legal</t>
  </si>
  <si>
    <t xml:space="preserve">Risk Disclosure and Investor Notice | Lendmax Capital MIC</t>
  </si>
  <si>
    <t xml:space="preserve">Risk disclosures for Lendmax Capital MIC: no guarantee, no deposit insurance, illiquidity, loss of principal, offering memorandum and exempt market rules.</t>
  </si>
  <si>
    <t xml:space="preserve">Risk Disclosure and Investor Notice</t>
  </si>
  <si>
    <t xml:space="preserve">https://lmcmic.ca/disclaimer/</t>
  </si>
  <si>
    <t xml:space="preserve">Organization, FinancialService, WebSite, BreadcrumbList</t>
  </si>
  <si>
    <t xml:space="preserve">https://lmcmic.ca/assets/og/disclaimer.png</t>
  </si>
  <si>
    <t xml:space="preserve">/faq/</t>
  </si>
  <si>
    <t xml:space="preserve">FAQ hub</t>
  </si>
  <si>
    <t xml:space="preserve">Tools, data and reference</t>
  </si>
  <si>
    <t xml:space="preserve">Mortgage Investment FAQ Canada: 60 Investor Questions</t>
  </si>
  <si>
    <t xml:space="preserve">Mortgage investment FAQ for Canada: 60 plain answers on MICs, returns, tax, RRSPs and TFSAs, risk, redemptions, investor eligibility and regulation.</t>
  </si>
  <si>
    <t xml:space="preserve">Mortgage Investing FAQ: 60 Questions Canadian Investors Ask</t>
  </si>
  <si>
    <t xml:space="preserve">mortgage investment FAQ Canada</t>
  </si>
  <si>
    <t xml:space="preserve">mortgage investing questions; what is a MIC; are MIC investments guaranteed</t>
  </si>
  <si>
    <t xml:space="preserve">what questions should I ask before investing in mortgages</t>
  </si>
  <si>
    <t xml:space="preserve">https://lmcmic.ca/faq/</t>
  </si>
  <si>
    <t xml:space="preserve">https://lmcmic.ca/assets/og/faq.png</t>
  </si>
  <si>
    <t xml:space="preserve">/glossary/</t>
  </si>
  <si>
    <t xml:space="preserve">Guide</t>
  </si>
  <si>
    <t xml:space="preserve">Understanding mortgage investing</t>
  </si>
  <si>
    <t xml:space="preserve">Mortgage Investment Glossary for Canadian Investors</t>
  </si>
  <si>
    <t xml:space="preserve">A mortgage investment glossary for Canada: 121 terms defined in plain English, from arrears and LTV to power of sale, retraction, hypothec and MIE.</t>
  </si>
  <si>
    <t xml:space="preserve">Canadian Mortgage Investment Glossary: 121 Terms Defined</t>
  </si>
  <si>
    <t xml:space="preserve">mortgage investment glossary Canada</t>
  </si>
  <si>
    <t xml:space="preserve">mortgage investing terminology; LTV; power of sale; retraction; MIE</t>
  </si>
  <si>
    <t xml:space="preserve">what does arrears mean in an investing context</t>
  </si>
  <si>
    <t xml:space="preserve">https://lmcmic.ca/glossary/</t>
  </si>
  <si>
    <t xml:space="preserve">Organization, FinancialService, WebSite, DefinedTermSet, FAQPage, BreadcrumbList</t>
  </si>
  <si>
    <t xml:space="preserve">https://lmcmic.ca/assets/og/glossary.png</t>
  </si>
  <si>
    <t xml:space="preserve">/learn/accredited-investor-canada/</t>
  </si>
  <si>
    <t xml:space="preserve">Regulation, tax and eligibility</t>
  </si>
  <si>
    <t xml:space="preserve">Accredited Investor in Canada: Who Qualifies</t>
  </si>
  <si>
    <t xml:space="preserve">Accredited investor in Canada: the income, financial-asset and net-asset tests, the eligible investor definition, and buying MIC shares without accreditation.</t>
  </si>
  <si>
    <t xml:space="preserve">Are You an Accredited Investor in Canada? Eligibility Explained</t>
  </si>
  <si>
    <t xml:space="preserve">accredited investor Canada</t>
  </si>
  <si>
    <t xml:space="preserve">am I an accredited investor Canada; eligible investor definition Canada; who can invest in a MIC</t>
  </si>
  <si>
    <t xml:space="preserve">can I invest in a MIC without being accredited</t>
  </si>
  <si>
    <t xml:space="preserve">https://lmcmic.ca/learn/accredited-investor-canada/</t>
  </si>
  <si>
    <t xml:space="preserve">Organization, FinancialService, WebSite, Article, FAQPage, BreadcrumbList</t>
  </si>
  <si>
    <t xml:space="preserve">https://lmcmic.ca/assets/og/learn--accredited-investor-canada.png</t>
  </si>
  <si>
    <t xml:space="preserve">/learn/alternative-fixed-income-canada/</t>
  </si>
  <si>
    <t xml:space="preserve">Pillar page</t>
  </si>
  <si>
    <t xml:space="preserve">Comparisons with other investments</t>
  </si>
  <si>
    <t xml:space="preserve">Alternative Fixed Income Investments in Canada</t>
  </si>
  <si>
    <t xml:space="preserve">Alternative fixed income investments in Canada vs GICs and bonds: private debt, mortgages, preferred shares, and what the extra income costs in risk.</t>
  </si>
  <si>
    <t xml:space="preserve">Alternative Fixed Income Investments in Canada: Where Mortgages Sit</t>
  </si>
  <si>
    <t xml:space="preserve">alternative fixed income investments Canada</t>
  </si>
  <si>
    <t xml:space="preserve">high yield investments Canada; income producing investments Canada</t>
  </si>
  <si>
    <t xml:space="preserve">what are the alternatives to GICs and bonds in Canada</t>
  </si>
  <si>
    <t xml:space="preserve">https://lmcmic.ca/learn/alternative-fixed-income-canada/</t>
  </si>
  <si>
    <t xml:space="preserve">https://lmcmic.ca/assets/og/learn--alternative-fixed-income-canada.png</t>
  </si>
  <si>
    <t xml:space="preserve">/learn/appraisals-for-mortgage-investors/</t>
  </si>
  <si>
    <t xml:space="preserve">Explainer</t>
  </si>
  <si>
    <t xml:space="preserve">Risk, security and due diligence</t>
  </si>
  <si>
    <t xml:space="preserve">Property Appraisals in a Mortgage Investment</t>
  </si>
  <si>
    <t xml:space="preserve">How a property appraisal protects a mortgage investment, the difference between as-is and as-complete value, and what to check in the appraisal report.</t>
  </si>
  <si>
    <t xml:space="preserve">Property Appraisals in a Mortgage Investment: As-Is vs As-Complete Value</t>
  </si>
  <si>
    <t xml:space="preserve">property appraisal mortgage investment</t>
  </si>
  <si>
    <t xml:space="preserve">as is value vs as complete value appraisal; how does an appraisal protect a mortgage investor</t>
  </si>
  <si>
    <t xml:space="preserve">how does an appraisal protect a mortgage investor</t>
  </si>
  <si>
    <t xml:space="preserve">https://lmcmic.ca/learn/appraisals-for-mortgage-investors/</t>
  </si>
  <si>
    <t xml:space="preserve">https://lmcmic.ca/assets/og/learn--appraisals-for-mortgage-investors.png</t>
  </si>
  <si>
    <t xml:space="preserve">/learn/are-mortgage-investments-guaranteed/</t>
  </si>
  <si>
    <t xml:space="preserve">Are MIC Investments Guaranteed? No. Here's Why</t>
  </si>
  <si>
    <t xml:space="preserve">Are MIC investments guaranteed? No. MIC shares have no CDIC insurance and no principal guarantee. What that means, how losses happen and what protections do.</t>
  </si>
  <si>
    <t xml:space="preserve">Are MIC Investments Guaranteed? No — Here Is What That Means</t>
  </si>
  <si>
    <t xml:space="preserve">are MIC investments guaranteed</t>
  </si>
  <si>
    <t xml:space="preserve">is my principal guaranteed mortgage investment; is a MIC CDIC insured</t>
  </si>
  <si>
    <t xml:space="preserve">is a MIC guaranteed</t>
  </si>
  <si>
    <t xml:space="preserve">https://lmcmic.ca/learn/are-mortgage-investments-guaranteed/</t>
  </si>
  <si>
    <t xml:space="preserve">https://lmcmic.ca/assets/og/learn--are-mortgage-investments-guaranteed.png</t>
  </si>
  <si>
    <t xml:space="preserve">/learn/borrower-default-mortgage-investment/</t>
  </si>
  <si>
    <t xml:space="preserve">Borrower Default on a Mortgage Investment | Lendmax Capital MIC</t>
  </si>
  <si>
    <t xml:space="preserve">Borrower default on a mortgage investment, step by step: demand, workout, enforcement by province, sale, shortfall, and how the losses reach each investor.</t>
  </si>
  <si>
    <t xml:space="preserve">What Happens When a Borrower Defaults on Your Mortgage Investment</t>
  </si>
  <si>
    <t xml:space="preserve">borrower default mortgage investment</t>
  </si>
  <si>
    <t xml:space="preserve">mortgage default risk investor; what happens if a borrower stops paying; do foreclosures affect MIC returns</t>
  </si>
  <si>
    <t xml:space="preserve">what happens if the borrower defaults on my mortgage investment</t>
  </si>
  <si>
    <t xml:space="preserve">https://lmcmic.ca/learn/borrower-default-mortgage-investment/</t>
  </si>
  <si>
    <t xml:space="preserve">https://lmcmic.ca/assets/og/learn--borrower-default-mortgage-investment.png</t>
  </si>
  <si>
    <t xml:space="preserve">/learn/bridge-mortgage-investing/</t>
  </si>
  <si>
    <t xml:space="preserve">Types of mortgage investment</t>
  </si>
  <si>
    <t xml:space="preserve">P2</t>
  </si>
  <si>
    <t xml:space="preserve">Bridge Mortgage Investing: How It Works | Lendmax Capital MIC</t>
  </si>
  <si>
    <t xml:space="preserve">Bridge mortgage investing funds short gaps between a purchase and a sale or refinance. How it works, where the returns come from and what can go wrong.</t>
  </si>
  <si>
    <t xml:space="preserve">Bridge Mortgage Investments: Short Terms, Fast Turnover</t>
  </si>
  <si>
    <t xml:space="preserve">bridge mortgage investing</t>
  </si>
  <si>
    <t xml:space="preserve">bridge financing investment returns; short term mortgage investment Canada</t>
  </si>
  <si>
    <t xml:space="preserve">how does a bridge mortgage investment work</t>
  </si>
  <si>
    <t xml:space="preserve">https://lmcmic.ca/learn/bridge-mortgage-investing/</t>
  </si>
  <si>
    <t xml:space="preserve">https://lmcmic.ca/assets/og/learn--bridge-mortgage-investing.png</t>
  </si>
  <si>
    <t xml:space="preserve">/learn/canadian-mic-market-data/</t>
  </si>
  <si>
    <t xml:space="preserve">Data / research</t>
  </si>
  <si>
    <t xml:space="preserve">MIC Market Size in Canada: Sources and How to Read Them</t>
  </si>
  <si>
    <t xml:space="preserve">Where data on MIC market size in Canada is published, what market share, arrears, LTV and concentration figures mean, and how to read them with care.</t>
  </si>
  <si>
    <t xml:space="preserve">MIC Market Size in Canada: Where the Numbers Come From and How to Read Them</t>
  </si>
  <si>
    <t xml:space="preserve">MIC market size Canada</t>
  </si>
  <si>
    <t xml:space="preserve">how many MICs are there in Canada; largest MICs in Canada; MIC delinquency rate Canada</t>
  </si>
  <si>
    <t xml:space="preserve">what is the size of the MIC market in Canada</t>
  </si>
  <si>
    <t xml:space="preserve">https://lmcmic.ca/learn/canadian-mic-market-data/</t>
  </si>
  <si>
    <t xml:space="preserve">https://lmcmic.ca/assets/og/learn--canadian-mic-market-data.png</t>
  </si>
  <si>
    <t xml:space="preserve">/learn/capital-preservation-and-loss-of-principal/</t>
  </si>
  <si>
    <t xml:space="preserve">Returns, income and cash flow</t>
  </si>
  <si>
    <t xml:space="preserve">Capital Preservation and Principal Loss in Mortgages</t>
  </si>
  <si>
    <t xml:space="preserve">Capital preservation in a mortgage investment rests on LTV, position and enforcement, and principal can still be lost. Both sides, with a worked example.</t>
  </si>
  <si>
    <t xml:space="preserve">Capital Preservation and Loss of Principal in a Mortgage Investment: Both Sides Stated Plainly</t>
  </si>
  <si>
    <t xml:space="preserve">capital preservation mortgage investment</t>
  </si>
  <si>
    <t xml:space="preserve">can you lose money investing in mortgages; mortgage investment risks</t>
  </si>
  <si>
    <t xml:space="preserve">can I lose my whole investment in a mortgage</t>
  </si>
  <si>
    <t xml:space="preserve">https://lmcmic.ca/learn/capital-preservation-and-loss-of-principal/</t>
  </si>
  <si>
    <t xml:space="preserve">https://lmcmic.ca/assets/og/learn--capital-preservation-and-loss-of-principal.png</t>
  </si>
  <si>
    <t xml:space="preserve">/learn/commercial-mortgage-investing/</t>
  </si>
  <si>
    <t xml:space="preserve">Commercial Mortgage Investing in Canada | Lendmax Capital MIC</t>
  </si>
  <si>
    <t xml:space="preserve">Commercial mortgage investing in Canada lends against income property. How it is valued and underwritten, multi-residential and mixed-use loans, and risks.</t>
  </si>
  <si>
    <t xml:space="preserve">Commercial Mortgage Investing in Canada</t>
  </si>
  <si>
    <t xml:space="preserve">commercial mortgage investing Canada</t>
  </si>
  <si>
    <t xml:space="preserve">multi-residential mortgage investing; mixed use property mortgage investment</t>
  </si>
  <si>
    <t xml:space="preserve">is commercial mortgage investing riskier than residential</t>
  </si>
  <si>
    <t xml:space="preserve">https://lmcmic.ca/learn/commercial-mortgage-investing/</t>
  </si>
  <si>
    <t xml:space="preserve">https://lmcmic.ca/assets/og/learn--commercial-mortgage-investing.png</t>
  </si>
  <si>
    <t xml:space="preserve">/learn/construction-mortgage-investments/</t>
  </si>
  <si>
    <t xml:space="preserve">Construction Mortgage Investments: Draws and Holdbacks</t>
  </si>
  <si>
    <t xml:space="preserve">Construction mortgage investments fund a build in stages. How draws, holdbacks, cost to complete and liens work, what can go wrong, and what to check first.</t>
  </si>
  <si>
    <t xml:space="preserve">Construction Mortgage Investments: Draws, Holdbacks and Cost to Complete</t>
  </si>
  <si>
    <t xml:space="preserve">construction mortgage investments</t>
  </si>
  <si>
    <t xml:space="preserve">construction loan investment risk; development financing investment Canada</t>
  </si>
  <si>
    <t xml:space="preserve">what are the risks of a construction mortgage investment</t>
  </si>
  <si>
    <t xml:space="preserve">https://lmcmic.ca/learn/construction-mortgage-investments/</t>
  </si>
  <si>
    <t xml:space="preserve">https://lmcmic.ca/assets/og/learn--construction-mortgage-investments.png</t>
  </si>
  <si>
    <t xml:space="preserve">/learn/corporate-and-holdco-mortgage-investing/</t>
  </si>
  <si>
    <t xml:space="preserve">Corporate Investment in Mortgages in Canada | Lendmax Capital MIC</t>
  </si>
  <si>
    <t xml:space="preserve">Corporate investment in mortgages in Canada as at October 2026: how a holding company buys MIC shares, how the income is taxed, and the limits to check first.</t>
  </si>
  <si>
    <t xml:space="preserve">Corporate Investment in Mortgages in Canada: Investing Through a Corporation or Holding Company</t>
  </si>
  <si>
    <t xml:space="preserve">corporate investment mortgage Canada</t>
  </si>
  <si>
    <t xml:space="preserve">holding company mortgage investment; corporate investment opportunities</t>
  </si>
  <si>
    <t xml:space="preserve">can I invest in mortgages through my corporation</t>
  </si>
  <si>
    <t xml:space="preserve">https://lmcmic.ca/learn/corporate-and-holdco-mortgage-investing/</t>
  </si>
  <si>
    <t xml:space="preserve">https://lmcmic.ca/assets/og/learn--corporate-and-holdco-mortgage-investing.png</t>
  </si>
  <si>
    <t xml:space="preserve">/learn/cost-of-mortgage-enforcement/</t>
  </si>
  <si>
    <t xml:space="preserve">The Cost of Enforcing a Mortgage Investment | Lendmax Capital MIC</t>
  </si>
  <si>
    <t xml:space="preserve">The cost of enforcing a mortgage investment after default: legal fees, unpaid interest, taxes, sale costs and time, traced through an illustrative recovery.</t>
  </si>
  <si>
    <t xml:space="preserve">The Real Cost of Enforcing a Mortgage Investment</t>
  </si>
  <si>
    <t xml:space="preserve">cost of enforcing a mortgage investment</t>
  </si>
  <si>
    <t xml:space="preserve">mortgage default risk investor; deficiency judgment mortgage Canada</t>
  </si>
  <si>
    <t xml:space="preserve">how much does enforcement cost if a borrower defaults</t>
  </si>
  <si>
    <t xml:space="preserve">https://lmcmic.ca/learn/cost-of-mortgage-enforcement/</t>
  </si>
  <si>
    <t xml:space="preserve">https://lmcmic.ca/assets/og/learn--cost-of-mortgage-enforcement.png</t>
  </si>
  <si>
    <t xml:space="preserve">/learn/development-financing-investment/</t>
  </si>
  <si>
    <t xml:space="preserve">Development Financing Investment in Canada | Lendmax Capital MIC</t>
  </si>
  <si>
    <t xml:space="preserve">Development financing investment in Canada lends on land before construction. How land loans work, entitlement and servicing risk, and what to check first.</t>
  </si>
  <si>
    <t xml:space="preserve">Development Financing as an Investment in Canada: Land, Servicing and Entitlement Risk</t>
  </si>
  <si>
    <t xml:space="preserve">development financing investment Canada</t>
  </si>
  <si>
    <t xml:space="preserve">land loan investment Canada; project equity loans</t>
  </si>
  <si>
    <t xml:space="preserve">how risky is land development lending</t>
  </si>
  <si>
    <t xml:space="preserve">https://lmcmic.ca/learn/development-financing-investment/</t>
  </si>
  <si>
    <t xml:space="preserve">https://lmcmic.ca/assets/og/learn--development-financing-investment.png</t>
  </si>
  <si>
    <t xml:space="preserve">/learn/direct-mortgage-investing/</t>
  </si>
  <si>
    <t xml:space="preserve">Direct Mortgage Investing: Holding the Charge Yourself</t>
  </si>
  <si>
    <t xml:space="preserve">Direct mortgage investing means lending on one specific mortgage registered to you. How it works in Canada, what you control, what it costs and what to check.</t>
  </si>
  <si>
    <t xml:space="preserve">Direct Mortgage Investing: Holding the Charge in Your Own Name</t>
  </si>
  <si>
    <t xml:space="preserve">direct mortgage investing</t>
  </si>
  <si>
    <t xml:space="preserve">individual mortgage investing; whole mortgage investment; arm's length mortgage investment</t>
  </si>
  <si>
    <t xml:space="preserve">can I choose the specific mortgage I invest in</t>
  </si>
  <si>
    <t xml:space="preserve">https://lmcmic.ca/learn/direct-mortgage-investing/</t>
  </si>
  <si>
    <t xml:space="preserve">https://lmcmic.ca/assets/og/learn--direct-mortgage-investing.png</t>
  </si>
  <si>
    <t xml:space="preserve">/learn/exempt-market-and-offering-memorandums/</t>
  </si>
  <si>
    <t xml:space="preserve">Exempt Market Mortgage Investments and OMs | Lendmax Capital MIC</t>
  </si>
  <si>
    <t xml:space="preserve">An exempt market mortgage investment is sold without a prospectus. How the OM and accredited investor exemptions work, what an OM holds and what EMDs do.</t>
  </si>
  <si>
    <t xml:space="preserve">Exempt Market Mortgage Investments: How Offering Memorandums Work</t>
  </si>
  <si>
    <t xml:space="preserve">exempt market mortgage investment</t>
  </si>
  <si>
    <t xml:space="preserve">offering memorandum exemption mortgage; prospectus exemption mortgage investment; exempt market dealer mortgage</t>
  </si>
  <si>
    <t xml:space="preserve">what is an exempt market security</t>
  </si>
  <si>
    <t xml:space="preserve">https://lmcmic.ca/learn/exempt-market-and-offering-memorandums/</t>
  </si>
  <si>
    <t xml:space="preserve">https://lmcmic.ca/assets/og/learn--exempt-market-and-offering-memorandums.png</t>
  </si>
  <si>
    <t xml:space="preserve">/learn/first-mortgage-investments/</t>
  </si>
  <si>
    <t xml:space="preserve">First Mortgage Investments Explained | Lendmax Capital MIC</t>
  </si>
  <si>
    <t xml:space="preserve">First mortgage investments rank first on title and are repaid first after a sale. How first position works in Canada, what it protects and what it does not.</t>
  </si>
  <si>
    <t xml:space="preserve">First Mortgage Investments Explained</t>
  </si>
  <si>
    <t xml:space="preserve">first mortgage investments</t>
  </si>
  <si>
    <t xml:space="preserve">first position mortgage investment; mortgage priority Canada</t>
  </si>
  <si>
    <t xml:space="preserve">what is a first position mortgage investment</t>
  </si>
  <si>
    <t xml:space="preserve">https://lmcmic.ca/learn/first-mortgage-investments/</t>
  </si>
  <si>
    <t xml:space="preserve">https://lmcmic.ca/assets/og/learn--first-mortgage-investments.png</t>
  </si>
  <si>
    <t xml:space="preserve">/learn/first-vs-second-mortgage-investments/</t>
  </si>
  <si>
    <t xml:space="preserve">Comparison</t>
  </si>
  <si>
    <t xml:space="preserve">First vs Second Mortgage Investing: What Position Costs</t>
  </si>
  <si>
    <t xml:space="preserve">First mortgage vs second mortgage investing: how position, combined LTV and power of sale decide who is repaid, with a worked example of the sale waterfall.</t>
  </si>
  <si>
    <t xml:space="preserve">First Mortgage vs Second Mortgage Investing: What Position Really Costs</t>
  </si>
  <si>
    <t xml:space="preserve">first mortgage vs second mortgage investing</t>
  </si>
  <si>
    <t xml:space="preserve">first position mortgage investment; second position mortgage investment; combined loan to value second mortgage</t>
  </si>
  <si>
    <t xml:space="preserve">what happens to a second mortgage in a power of sale</t>
  </si>
  <si>
    <t xml:space="preserve">https://lmcmic.ca/learn/first-vs-second-mortgage-investments/</t>
  </si>
  <si>
    <t xml:space="preserve">https://lmcmic.ca/assets/og/learn--first-vs-second-mortgage-investments.png</t>
  </si>
  <si>
    <t xml:space="preserve">/learn/fixed-vs-variable-rate-mortgage-investments/</t>
  </si>
  <si>
    <t xml:space="preserve">P3</t>
  </si>
  <si>
    <t xml:space="preserve">Fixed Rate vs Variable Rate Mortgage Investments</t>
  </si>
  <si>
    <t xml:space="preserve">Fixed rate vs variable rate mortgage investments compared: who carries interest rate risk, why term length matters and whether variable really pays more.</t>
  </si>
  <si>
    <t xml:space="preserve">fixed rate vs variable rate mortgage investment</t>
  </si>
  <si>
    <t xml:space="preserve">interest rate risk mortgage investing; mortgage investment term length</t>
  </si>
  <si>
    <t xml:space="preserve">does a variable rate mortgage investment pay more</t>
  </si>
  <si>
    <t xml:space="preserve">https://lmcmic.ca/learn/fixed-vs-variable-rate-mortgage-investments/</t>
  </si>
  <si>
    <t xml:space="preserve">https://lmcmic.ca/assets/og/learn--fixed-vs-variable-rate-mortgage-investments.png</t>
  </si>
  <si>
    <t xml:space="preserve">/learn/fractional-and-syndicated-mortgage-investing/</t>
  </si>
  <si>
    <t xml:space="preserve">Fractional Mortgage Investing and Syndicated Mortgages</t>
  </si>
  <si>
    <t xml:space="preserve">Fractional mortgage investing means several investors share one loan. How syndicated mortgages work in Canada, the 2021 rule changes and the risks to weigh.</t>
  </si>
  <si>
    <t xml:space="preserve">Fractional Mortgage Investing and Syndicated Mortgages: How Shared Loans Work</t>
  </si>
  <si>
    <t xml:space="preserve">fractional mortgage investing</t>
  </si>
  <si>
    <t xml:space="preserve">syndicated mortgage investment; what is a syndicated mortgage</t>
  </si>
  <si>
    <t xml:space="preserve">how does fractional mortgage investing work</t>
  </si>
  <si>
    <t xml:space="preserve">https://lmcmic.ca/learn/fractional-and-syndicated-mortgage-investing/</t>
  </si>
  <si>
    <t xml:space="preserve">https://lmcmic.ca/assets/og/learn--fractional-and-syndicated-mortgage-investing.png</t>
  </si>
  <si>
    <t xml:space="preserve">/learn/gross-vs-net-vs-after-tax-yield/</t>
  </si>
  <si>
    <t xml:space="preserve">Net Yield vs Gross Yield on a Mortgage Investment</t>
  </si>
  <si>
    <t xml:space="preserve">Net yield vs gross yield on a mortgage investment, and the after-tax number: what each measures, what sits between them and how MIC dividends are taxed.</t>
  </si>
  <si>
    <t xml:space="preserve">Gross Yield, Net Yield and After-Tax Yield on a Mortgage Investment</t>
  </si>
  <si>
    <t xml:space="preserve">net yield vs gross yield mortgage investment</t>
  </si>
  <si>
    <t xml:space="preserve">after tax return mortgage investment Canada; mortgage investment yield explained</t>
  </si>
  <si>
    <t xml:space="preserve">how much tax will I pay on MIC dividends</t>
  </si>
  <si>
    <t xml:space="preserve">https://lmcmic.ca/learn/gross-vs-net-vs-after-tax-yield/</t>
  </si>
  <si>
    <t xml:space="preserve">https://lmcmic.ca/assets/og/learn--gross-vs-net-vs-after-tax-yield.png</t>
  </si>
  <si>
    <t xml:space="preserve">/learn/how-interest-is-paid-to-mortgage-investors/</t>
  </si>
  <si>
    <t xml:space="preserve">How Is Interest Paid to a Mortgage Investor?</t>
  </si>
  <si>
    <t xml:space="preserve">How is interest paid to a mortgage investor? How borrower payments flow through an administrator's trust account, how often they arrive, and what delays them.</t>
  </si>
  <si>
    <t xml:space="preserve">How Is Interest Paid to a Private Mortgage Investor?</t>
  </si>
  <si>
    <t xml:space="preserve">how is interest paid to a mortgage investor</t>
  </si>
  <si>
    <t xml:space="preserve">monthly distribution investment Canada; interest only mortgage investment</t>
  </si>
  <si>
    <t xml:space="preserve">how often are interest payments paid out</t>
  </si>
  <si>
    <t xml:space="preserve">https://lmcmic.ca/learn/how-interest-is-paid-to-mortgage-investors/</t>
  </si>
  <si>
    <t xml:space="preserve">https://lmcmic.ca/assets/og/learn--how-interest-is-paid-to-mortgage-investors.png</t>
  </si>
  <si>
    <t xml:space="preserve">/learn/how-mortgage-investments-are-secured/</t>
  </si>
  <si>
    <t xml:space="preserve">How Is a Mortgage Investment Secured? | Lendmax Capital MIC</t>
  </si>
  <si>
    <t xml:space="preserve">How is a mortgage investment secured? Registered charges, priority, title searches, appraisals and insurance on Canadian property, and the limits of security.</t>
  </si>
  <si>
    <t xml:space="preserve">How Is a Mortgage Investment Secured Against Canadian Real Estate?</t>
  </si>
  <si>
    <t xml:space="preserve">how is a mortgage investment secured</t>
  </si>
  <si>
    <t xml:space="preserve">registered charge against title; mortgage priority Canada; title search mortgage investment</t>
  </si>
  <si>
    <t xml:space="preserve">how is my investment secured</t>
  </si>
  <si>
    <t xml:space="preserve">https://lmcmic.ca/learn/how-mortgage-investments-are-secured/</t>
  </si>
  <si>
    <t xml:space="preserve">https://lmcmic.ca/assets/og/learn--how-mortgage-investments-are-secured.png</t>
  </si>
  <si>
    <t xml:space="preserve">/learn/how-mortgage-investors-make-money/</t>
  </si>
  <si>
    <t xml:space="preserve">How Do Mortgage Investors Make Money? | Lendmax Capital MIC</t>
  </si>
  <si>
    <t xml:space="preserve">How do mortgage investors make money? Interest, lender fees, and what fees, credit losses and tax take away, shown in a worked example of a mortgage pool.</t>
  </si>
  <si>
    <t xml:space="preserve">How Do Mortgage Investors Actually Make Money?</t>
  </si>
  <si>
    <t xml:space="preserve">how do mortgage investors make money</t>
  </si>
  <si>
    <t xml:space="preserve">mortgage investment income; where returns come from; mortgage interest income</t>
  </si>
  <si>
    <t xml:space="preserve">how does a mortgage investment generate income</t>
  </si>
  <si>
    <t xml:space="preserve">https://lmcmic.ca/learn/how-mortgage-investors-make-money/</t>
  </si>
  <si>
    <t xml:space="preserve">https://lmcmic.ca/assets/og/learn--how-mortgage-investors-make-money.png</t>
  </si>
  <si>
    <t xml:space="preserve">/learn/how-mortgages-are-underwritten/</t>
  </si>
  <si>
    <t xml:space="preserve">How Are Mortgages Underwritten for Investors?</t>
  </si>
  <si>
    <t xml:space="preserve">How mortgages are underwritten for investors: the property, borrower and exit tests a private lender or MIC applies, a worked example, and what to check.</t>
  </si>
  <si>
    <t xml:space="preserve">How Mortgages Are Underwritten — From an Investor's Side of the Table</t>
  </si>
  <si>
    <t xml:space="preserve">how are mortgages underwritten for investors</t>
  </si>
  <si>
    <t xml:space="preserve">borrower creditworthiness mortgage investment; how does a MIC decide which mortgages to fund</t>
  </si>
  <si>
    <t xml:space="preserve">how do you decide which mortgages to invest in</t>
  </si>
  <si>
    <t xml:space="preserve">https://lmcmic.ca/learn/how-mortgages-are-underwritten/</t>
  </si>
  <si>
    <t xml:space="preserve">https://lmcmic.ca/assets/og/learn--how-mortgages-are-underwritten.png</t>
  </si>
  <si>
    <t xml:space="preserve">/learn/how-private-mortgage-investing-works/</t>
  </si>
  <si>
    <t xml:space="preserve">How Private Mortgage Investing Works in Canada</t>
  </si>
  <si>
    <t xml:space="preserve">Private mortgage investing step by step: who borrows, how loans are underwritten and registered, how investors are paid, and what happens if a loan defaults.</t>
  </si>
  <si>
    <t xml:space="preserve">How Does Private Mortgage Investing Work?</t>
  </si>
  <si>
    <t xml:space="preserve">private mortgage investing</t>
  </si>
  <si>
    <t xml:space="preserve">private mortgage investments; private lending Canada; how to invest in private mortgages</t>
  </si>
  <si>
    <t xml:space="preserve">how does private mortgage investing work in Canada</t>
  </si>
  <si>
    <t xml:space="preserve">https://lmcmic.ca/learn/how-private-mortgage-investing-works/</t>
  </si>
  <si>
    <t xml:space="preserve">https://lmcmic.ca/assets/og/learn--how-private-mortgage-investing-works.png</t>
  </si>
  <si>
    <t xml:space="preserve">/learn/how-to-evaluate-a-mic/</t>
  </si>
  <si>
    <t xml:space="preserve">Checklist</t>
  </si>
  <si>
    <t xml:space="preserve">How to Choose a MIC: 20 Questions to Ask First</t>
  </si>
  <si>
    <t xml:space="preserve">How to choose a MIC: twenty questions to ask before investing, the answers that are clear, the answers that warrant caution, and where to find each one.</t>
  </si>
  <si>
    <t xml:space="preserve">How to Choose a MIC: Evaluating a Mortgage Investment Corporation Before You Invest</t>
  </si>
  <si>
    <t xml:space="preserve">how to choose a MIC</t>
  </si>
  <si>
    <t xml:space="preserve">MIC due diligence checklist; questions to ask before investing in a MIC; what should I look for when choosing a MIC</t>
  </si>
  <si>
    <t xml:space="preserve">what questions should I ask before investing in a MIC</t>
  </si>
  <si>
    <t xml:space="preserve">https://lmcmic.ca/learn/how-to-evaluate-a-mic/</t>
  </si>
  <si>
    <t xml:space="preserve">https://lmcmic.ca/assets/og/learn--how-to-evaluate-a-mic.png</t>
  </si>
  <si>
    <t xml:space="preserve">/learn/interest-rate-risk-mortgage-investing/</t>
  </si>
  <si>
    <t xml:space="preserve">Interest Rate Risk in Mortgage Investing | Lendmax Capital MIC</t>
  </si>
  <si>
    <t xml:space="preserve">Interest rate risk in mortgage investing works differently from bonds. How rate moves affect yields, borrowers, property values and reinvested money.</t>
  </si>
  <si>
    <t xml:space="preserve">Interest Rate Risk in Mortgage Investing: What Happens When Rates Change</t>
  </si>
  <si>
    <t xml:space="preserve">interest rate risk mortgage investing</t>
  </si>
  <si>
    <t xml:space="preserve">fixed rate vs variable rate mortgage investment; reinvestment risk mortgage investing</t>
  </si>
  <si>
    <t xml:space="preserve">what happens to mortgage investments when rates change</t>
  </si>
  <si>
    <t xml:space="preserve">https://lmcmic.ca/learn/interest-rate-risk-mortgage-investing/</t>
  </si>
  <si>
    <t xml:space="preserve">https://lmcmic.ca/assets/og/learn--interest-rate-risk-mortgage-investing.png</t>
  </si>
  <si>
    <t xml:space="preserve">/learn/liquidity-and-redemption/</t>
  </si>
  <si>
    <t xml:space="preserve">Liquidity Risk in a Mortgage Investment: Redemption</t>
  </si>
  <si>
    <t xml:space="preserve">Liquidity risk in a mortgage investment explained: MIC notice periods, lock-ups, early redemption fees, and how deferral, gating and suspension work.</t>
  </si>
  <si>
    <t xml:space="preserve">Liquidity Risk in a Mortgage Investment: Redemption and Getting Your Money Out</t>
  </si>
  <si>
    <t xml:space="preserve">liquidity risk mortgage investment</t>
  </si>
  <si>
    <t xml:space="preserve">MIC redemption restrictions; lock up period mortgage investment; how liquid is a MIC investment</t>
  </si>
  <si>
    <t xml:space="preserve">what happens if I need my money before the term ends</t>
  </si>
  <si>
    <t xml:space="preserve">https://lmcmic.ca/learn/liquidity-and-redemption/</t>
  </si>
  <si>
    <t xml:space="preserve">https://lmcmic.ca/assets/og/learn--liquidity-and-redemption.png</t>
  </si>
  <si>
    <t xml:space="preserve">/learn/loan-to-value-for-mortgage-investors/</t>
  </si>
  <si>
    <t xml:space="preserve">Loan-to-Value in Mortgage Investing: How to Read It</t>
  </si>
  <si>
    <t xml:space="preserve">Loan to value in mortgage investing measures the cushion behind a loan. How to calculate LTV and combined LTV, and the ways the number can mislead investors.</t>
  </si>
  <si>
    <t xml:space="preserve">Loan-to-Value in Mortgage Investing: How to Read It and Where It Misleads</t>
  </si>
  <si>
    <t xml:space="preserve">loan to value mortgage investing</t>
  </si>
  <si>
    <t xml:space="preserve">what is a good LTV for mortgage investing; combined loan to value second mortgage; weighted average LTV MIC</t>
  </si>
  <si>
    <t xml:space="preserve">how does LTV protect my capital</t>
  </si>
  <si>
    <t xml:space="preserve">https://lmcmic.ca/learn/loan-to-value-for-mortgage-investors/</t>
  </si>
  <si>
    <t xml:space="preserve">https://lmcmic.ca/assets/og/learn--loan-to-value-for-mortgage-investors.png</t>
  </si>
  <si>
    <t xml:space="preserve">/learn/mic-minimum-investment/</t>
  </si>
  <si>
    <t xml:space="preserve">MIC Minimum Investment: What It Takes to Start</t>
  </si>
  <si>
    <t xml:space="preserve">How a MIC minimum investment is set, the offering memorandum exemption's $10,000, $30,000 and $100,000 limits, and what else it takes to get started.</t>
  </si>
  <si>
    <t xml:space="preserve">MIC Minimum Investment and Getting Started: What It Actually Takes</t>
  </si>
  <si>
    <t xml:space="preserve">MIC minimum investment</t>
  </si>
  <si>
    <t xml:space="preserve">private mortgage investment minimum; how much money do I need to invest in mortgages; can I invest in mortgages with $10,000</t>
  </si>
  <si>
    <t xml:space="preserve">how much do I need to start investing in a MIC</t>
  </si>
  <si>
    <t xml:space="preserve">https://lmcmic.ca/learn/mic-minimum-investment/</t>
  </si>
  <si>
    <t xml:space="preserve">https://lmcmic.ca/assets/og/learn--mic-minimum-investment.png</t>
  </si>
  <si>
    <t xml:space="preserve">/learn/mic-qualification-requirements/</t>
  </si>
  <si>
    <t xml:space="preserve">MIC Qualification Requirements in Canada | Lendmax Capital MIC</t>
  </si>
  <si>
    <t xml:space="preserve">MIC qualification requirements in Canada: the nine conditions in section 130.1(6) of the Income Tax Act, what each one means, and what investors can check.</t>
  </si>
  <si>
    <t xml:space="preserve">The Nine MIC Qualification Requirements: How a MIC Keeps Its Tax Status</t>
  </si>
  <si>
    <t xml:space="preserve">MIC qualification requirements Canada</t>
  </si>
  <si>
    <t xml:space="preserve">section 130.1 Income Tax Act; MIC 20 shareholder rule; MIC 25 percent shareholder limit</t>
  </si>
  <si>
    <t xml:space="preserve">how does a MIC keep its tax status</t>
  </si>
  <si>
    <t xml:space="preserve">https://lmcmic.ca/learn/mic-qualification-requirements/</t>
  </si>
  <si>
    <t xml:space="preserve">https://lmcmic.ca/assets/og/learn--mic-qualification-requirements.png</t>
  </si>
  <si>
    <t xml:space="preserve">/learn/mic-share-structure/</t>
  </si>
  <si>
    <t xml:space="preserve">MIC Shares: Preferred, Common and Share Classes</t>
  </si>
  <si>
    <t xml:space="preserve">MIC shares come in common, preferred and multiple classes. What each class means for income, voting, redemption and risk, and how the pari passu rule works.</t>
  </si>
  <si>
    <t xml:space="preserve">MIC Share Structure: Preferred, Common and Multiple Classes</t>
  </si>
  <si>
    <t xml:space="preserve">MIC shares</t>
  </si>
  <si>
    <t xml:space="preserve">MIC preferred shares; MIC Class A vs Class B shares; pari passu</t>
  </si>
  <si>
    <t xml:space="preserve">what is the difference between MIC share classes</t>
  </si>
  <si>
    <t xml:space="preserve">https://lmcmic.ca/learn/mic-share-structure/</t>
  </si>
  <si>
    <t xml:space="preserve">https://lmcmic.ca/assets/og/learn--mic-share-structure.png</t>
  </si>
  <si>
    <t xml:space="preserve">/learn/mic-vs-direct-mortgage-investing/</t>
  </si>
  <si>
    <t xml:space="preserve">MIC vs Direct Mortgage Investing: Pooled or Your Own</t>
  </si>
  <si>
    <t xml:space="preserve">MIC vs direct mortgage investing: choice of loan, diversification, servicing, enforcement, fees, liquidity and regulation compared, with a worked example.</t>
  </si>
  <si>
    <t xml:space="preserve">MIC vs Direct Mortgage Investing: Pooled Shares or Your Own Charge</t>
  </si>
  <si>
    <t xml:space="preserve">MIC vs direct mortgage investing</t>
  </si>
  <si>
    <t xml:space="preserve">MIC vs private lender; individual mortgage investing; direct mortgage investing</t>
  </si>
  <si>
    <t xml:space="preserve">which is better a MIC or lending directly</t>
  </si>
  <si>
    <t xml:space="preserve">https://lmcmic.ca/learn/mic-vs-direct-mortgage-investing/</t>
  </si>
  <si>
    <t xml:space="preserve">https://lmcmic.ca/assets/og/learn--mic-vs-direct-mortgage-investing.png</t>
  </si>
  <si>
    <t xml:space="preserve">/learn/mic-vs-mie/</t>
  </si>
  <si>
    <t xml:space="preserve">Mortgage Investment Entity (MIE) vs MIC | Lendmax Capital MIC</t>
  </si>
  <si>
    <t xml:space="preserve">A mortgage investment entity (MIE) is a broad term for pooled mortgage lenders; a MIC is one tax-defined kind. What an MIE is and why the two words differ.</t>
  </si>
  <si>
    <t xml:space="preserve">MIC or MIE? What a Mortgage Investment Entity Is and Why the Words Differ</t>
  </si>
  <si>
    <t xml:space="preserve">mortgage investment entity</t>
  </si>
  <si>
    <t xml:space="preserve">what is an MIE; MIC vs MIE difference</t>
  </si>
  <si>
    <t xml:space="preserve">what is an MIE</t>
  </si>
  <si>
    <t xml:space="preserve">https://lmcmic.ca/learn/mic-vs-mie/</t>
  </si>
  <si>
    <t xml:space="preserve">https://lmcmic.ca/assets/og/learn--mic-vs-mie.png</t>
  </si>
  <si>
    <t xml:space="preserve">/learn/mic-vs-reit/</t>
  </si>
  <si>
    <t xml:space="preserve">MIC vs REIT in Canada: Debt Income or Equity</t>
  </si>
  <si>
    <t xml:space="preserve">MIC vs REIT in Canada: one lends against property, the other owns it. Compare income, tax, liquidity, risk and upside side by side, without a verdict.</t>
  </si>
  <si>
    <t xml:space="preserve">MIC vs REIT in Canada: Debt Income or Equity Ownership</t>
  </si>
  <si>
    <t xml:space="preserve">MIC vs REIT Canada</t>
  </si>
  <si>
    <t xml:space="preserve">MIC vs REIT; mortgage investing vs dividend stocks; real estate debt investing</t>
  </si>
  <si>
    <t xml:space="preserve">which is better a MIC or a REIT</t>
  </si>
  <si>
    <t xml:space="preserve">https://lmcmic.ca/learn/mic-vs-reit/</t>
  </si>
  <si>
    <t xml:space="preserve">https://lmcmic.ca/assets/og/learn--mic-vs-reit.png</t>
  </si>
  <si>
    <t xml:space="preserve">/learn/monthly-income-from-mortgage-investments/</t>
  </si>
  <si>
    <t xml:space="preserve">Monthly Income Investments in Canada: Mortgage Cash Flow</t>
  </si>
  <si>
    <t xml:space="preserve">Monthly income investments in Canada include mortgages. How borrower payments reach investors, monthly vs quarterly distributions and what can interrupt them.</t>
  </si>
  <si>
    <t xml:space="preserve">Monthly Income Investments in Canada: How Mortgage Cash Flow Works</t>
  </si>
  <si>
    <t xml:space="preserve">monthly income investments Canada</t>
  </si>
  <si>
    <t xml:space="preserve">mortgage cash flow investments; monthly distribution investment Canada; mortgage passive income</t>
  </si>
  <si>
    <t xml:space="preserve">how do I get paid on a mortgage investment</t>
  </si>
  <si>
    <t xml:space="preserve">https://lmcmic.ca/learn/monthly-income-from-mortgage-investments/</t>
  </si>
  <si>
    <t xml:space="preserve">https://lmcmic.ca/assets/og/learn--monthly-income-from-mortgage-investments.png</t>
  </si>
  <si>
    <t xml:space="preserve">/learn/mortgage-administrators/</t>
  </si>
  <si>
    <t xml:space="preserve">What Is a Mortgage Administrator? | Lendmax Capital MIC</t>
  </si>
  <si>
    <t xml:space="preserve">What is a mortgage administrator? The business that collects payments, holds them in trust and acts on defaults for investors. Licensing, trustees and checks.</t>
  </si>
  <si>
    <t xml:space="preserve">What Is a Mortgage Administrator? Who Services Your Investment and Why It Matters</t>
  </si>
  <si>
    <t xml:space="preserve">what is a mortgage administrator</t>
  </si>
  <si>
    <t xml:space="preserve">mortgage administrator licence Canada; who holds the mortgage on my behalf</t>
  </si>
  <si>
    <t xml:space="preserve">what is a trustee in a mortgage investment</t>
  </si>
  <si>
    <t xml:space="preserve">https://lmcmic.ca/learn/mortgage-administrators/</t>
  </si>
  <si>
    <t xml:space="preserve">https://lmcmic.ca/assets/og/learn--mortgage-administrators.png</t>
  </si>
  <si>
    <t xml:space="preserve">/learn/mortgage-enforcement-across-canada/</t>
  </si>
  <si>
    <t xml:space="preserve">Foreclosure Process for Mortgage Investors in Canada</t>
  </si>
  <si>
    <t xml:space="preserve">The foreclosure process for mortgage investors, province by province: power of sale, judicial sale, Québec's hypothecary recourses and deficiency claims.</t>
  </si>
  <si>
    <t xml:space="preserve">The Foreclosure Process for Mortgage Investors: Power of Sale, Judicial Sale and Québec's Recourses</t>
  </si>
  <si>
    <t xml:space="preserve">foreclosure process for mortgage investors</t>
  </si>
  <si>
    <t xml:space="preserve">power of sale vs foreclosure Canada; deficiency judgment mortgage Canada</t>
  </si>
  <si>
    <t xml:space="preserve">how does foreclosure work in British Columbia</t>
  </si>
  <si>
    <t xml:space="preserve">https://lmcmic.ca/learn/mortgage-enforcement-across-canada/</t>
  </si>
  <si>
    <t xml:space="preserve">https://lmcmic.ca/assets/og/learn--mortgage-enforcement-across-canada.png</t>
  </si>
  <si>
    <t xml:space="preserve">/learn/mortgage-funds-canada/</t>
  </si>
  <si>
    <t xml:space="preserve">Mortgage Funds in Canada: How They Differ From a MIC</t>
  </si>
  <si>
    <t xml:space="preserve">Mortgage funds in Canada pool investor money into mortgages as trusts, partnerships or MICs. How a mortgage income fund works and how it differs from a MIC.</t>
  </si>
  <si>
    <t xml:space="preserve">mortgage funds Canada</t>
  </si>
  <si>
    <t xml:space="preserve">mortgage income fund; pooled mortgage investment; senior fund vs junior fund</t>
  </si>
  <si>
    <t xml:space="preserve">what is a mortgage income fund</t>
  </si>
  <si>
    <t xml:space="preserve">https://lmcmic.ca/learn/mortgage-funds-canada/</t>
  </si>
  <si>
    <t xml:space="preserve">https://lmcmic.ca/assets/og/learn--mortgage-funds-canada.png</t>
  </si>
  <si>
    <t xml:space="preserve">/learn/mortgage-investing-alberta/</t>
  </si>
  <si>
    <t xml:space="preserve">Location</t>
  </si>
  <si>
    <t xml:space="preserve">Mortgage Investing in Alberta: Rules and Enforcement</t>
  </si>
  <si>
    <t xml:space="preserve">Mortgage investing in Alberta: RECA and ASC oversight, court-supervised enforcement, offering memorandum limits, and how Alberta compares with BC.</t>
  </si>
  <si>
    <t xml:space="preserve">Mortgage Investing in Alberta</t>
  </si>
  <si>
    <t xml:space="preserve">mortgage investing Alberta</t>
  </si>
  <si>
    <t xml:space="preserve">invest in mortgages Alberta; mortgage investment corporation Alberta; private mortgage investing BC and Alberta</t>
  </si>
  <si>
    <t xml:space="preserve">how do I invest in mortgages in Alberta</t>
  </si>
  <si>
    <t xml:space="preserve">https://lmcmic.ca/learn/mortgage-investing-alberta/</t>
  </si>
  <si>
    <t xml:space="preserve">https://lmcmic.ca/assets/og/learn--mortgage-investing-alberta.png</t>
  </si>
  <si>
    <t xml:space="preserve">/learn/mortgage-investing-british-columbia/</t>
  </si>
  <si>
    <t xml:space="preserve">Mortgage Investing in British Columbia: 2026 Guide</t>
  </si>
  <si>
    <t xml:space="preserve">Mortgage investing in British Columbia: BCFSA, the Mortgage Services Act scheduled for 13 October 2026, judicial foreclosure and how investors get access.</t>
  </si>
  <si>
    <t xml:space="preserve">Mortgage Investing in British Columbia</t>
  </si>
  <si>
    <t xml:space="preserve">mortgage investing British Columbia</t>
  </si>
  <si>
    <t xml:space="preserve">mortgage investment corporation BC; private lending BC; invest in mortgages BC</t>
  </si>
  <si>
    <t xml:space="preserve">how do I invest in mortgages in BC</t>
  </si>
  <si>
    <t xml:space="preserve">https://lmcmic.ca/learn/mortgage-investing-british-columbia/</t>
  </si>
  <si>
    <t xml:space="preserve">https://lmcmic.ca/assets/og/learn--mortgage-investing-british-columbia.png</t>
  </si>
  <si>
    <t xml:space="preserve">/learn/mortgage-investing-for-beginners/</t>
  </si>
  <si>
    <t xml:space="preserve">Mortgage Investing for Beginners in Canada | Lendmax Capital MIC</t>
  </si>
  <si>
    <t xml:space="preserve">Mortgage investing for beginners: the ideas to learn first, how to start with a small amount, the steps to invest in Canada, and the risks first-timers miss.</t>
  </si>
  <si>
    <t xml:space="preserve">Mortgage Investing for Beginners: A Canadian Guide</t>
  </si>
  <si>
    <t xml:space="preserve">mortgage investing for beginners</t>
  </si>
  <si>
    <t xml:space="preserve">first time mortgage investor Canada; mortgage investing explained</t>
  </si>
  <si>
    <t xml:space="preserve">how do I start investing in mortgages with a small amount</t>
  </si>
  <si>
    <t xml:space="preserve">https://lmcmic.ca/learn/mortgage-investing-for-beginners/</t>
  </si>
  <si>
    <t xml:space="preserve">https://lmcmic.ca/assets/og/learn--mortgage-investing-for-beginners.png</t>
  </si>
  <si>
    <t xml:space="preserve">/learn/mortgage-investing-for-retirement-income/</t>
  </si>
  <si>
    <t xml:space="preserve">Mortgage Investing for Retirement Income in Canada</t>
  </si>
  <si>
    <t xml:space="preserve">How retirement income from mortgage investing in Canada works, why liquidity and capital loss matter more in retirement, and how RRIFs and TFSAs fit.</t>
  </si>
  <si>
    <t xml:space="preserve">retirement income mortgage investing Canada</t>
  </si>
  <si>
    <t xml:space="preserve">monthly income investments Canada; mortgage investing for retirees Canada</t>
  </si>
  <si>
    <t xml:space="preserve">can mortgage investments fund my retirement income</t>
  </si>
  <si>
    <t xml:space="preserve">https://lmcmic.ca/learn/mortgage-investing-for-retirement-income/</t>
  </si>
  <si>
    <t xml:space="preserve">https://lmcmic.ca/assets/og/learn--mortgage-investing-for-retirement-income.png</t>
  </si>
  <si>
    <t xml:space="preserve">/learn/mortgage-investing-ontario/</t>
  </si>
  <si>
    <t xml:space="preserve">Mortgage Investing in Ontario: Rules and How to Invest</t>
  </si>
  <si>
    <t xml:space="preserve">Mortgage investing in Ontario explained: FSRA and OSC oversight, licensed mortgage administrators, power of sale, OM exemption limits and how to invest.</t>
  </si>
  <si>
    <t xml:space="preserve">Mortgage Investing in Ontario: Regulation, Enforcement and How to Invest</t>
  </si>
  <si>
    <t xml:space="preserve">mortgage investing Ontario</t>
  </si>
  <si>
    <t xml:space="preserve">private mortgage investing Ontario; mortgage investment corporation Ontario; mortgage investment opportunities Ontario; invest in mortgages Ontario</t>
  </si>
  <si>
    <t xml:space="preserve">how do I invest in mortgages in Ontario</t>
  </si>
  <si>
    <t xml:space="preserve">https://lmcmic.ca/learn/mortgage-investing-ontario/</t>
  </si>
  <si>
    <t xml:space="preserve">https://lmcmic.ca/assets/og/learn--mortgage-investing-ontario.png</t>
  </si>
  <si>
    <t xml:space="preserve">/learn/mortgage-investing-ontario/greater-toronto-area/</t>
  </si>
  <si>
    <t xml:space="preserve">Mortgage Investing in the GTA: Rules, Risks and Access</t>
  </si>
  <si>
    <t xml:space="preserve">Mortgage investing in the GTA under Ontario rules: who regulates it, how power of sale works, why Toronto concentration matters, and how investors get access.</t>
  </si>
  <si>
    <t xml:space="preserve">Mortgage Investing in the Greater Toronto Area</t>
  </si>
  <si>
    <t xml:space="preserve">mortgage investing GTA</t>
  </si>
  <si>
    <t xml:space="preserve">mortgage investing Toronto; private mortgage investment Greater Toronto Area</t>
  </si>
  <si>
    <t xml:space="preserve">how do I invest in mortgages in Toronto</t>
  </si>
  <si>
    <t xml:space="preserve">https://lmcmic.ca/learn/mortgage-investing-ontario/greater-toronto-area/</t>
  </si>
  <si>
    <t xml:space="preserve">https://lmcmic.ca/assets/og/learn--mortgage-investing-ontario--greater-toronto-area.png</t>
  </si>
  <si>
    <t xml:space="preserve">/learn/mortgage-investing-ontario/ottawa/</t>
  </si>
  <si>
    <t xml:space="preserve">Mortgage Investing in Ottawa and the NCR | Lendmax Capital MIC</t>
  </si>
  <si>
    <t xml:space="preserve">Mortgage investing in Ottawa follows Ontario rules, while Gatineau follows Quebec civil law. Regulators, enforcement and access routes for NCR investors.</t>
  </si>
  <si>
    <t xml:space="preserve">Mortgage Investing in Ottawa and the National Capital Region</t>
  </si>
  <si>
    <t xml:space="preserve">mortgage investing Ottawa</t>
  </si>
  <si>
    <t xml:space="preserve">mortgage investment opportunities Ontario; private mortgage investing Ontario</t>
  </si>
  <si>
    <t xml:space="preserve">how do I invest in mortgages in Ottawa</t>
  </si>
  <si>
    <t xml:space="preserve">https://lmcmic.ca/learn/mortgage-investing-ontario/ottawa/</t>
  </si>
  <si>
    <t xml:space="preserve">https://lmcmic.ca/assets/og/learn--mortgage-investing-ontario--ottawa.png</t>
  </si>
  <si>
    <t xml:space="preserve">/learn/mortgage-investing-passive-income/</t>
  </si>
  <si>
    <t xml:space="preserve">Mortgage Passive Income in Canada: How It Works</t>
  </si>
  <si>
    <t xml:space="preserve">How mortgage passive income works in Canada: where the money comes from, how it is paid and taxed, and why passive describes the effort, not the risk.</t>
  </si>
  <si>
    <t xml:space="preserve">Mortgage Passive Income in Canada: What Passive Does and Does Not Mean</t>
  </si>
  <si>
    <t xml:space="preserve">mortgage passive income</t>
  </si>
  <si>
    <t xml:space="preserve">passive income Canada mortgage; monthly income investments Canada; passive real estate investing Canada</t>
  </si>
  <si>
    <t xml:space="preserve">could I use mortgage investing as a passive income source</t>
  </si>
  <si>
    <t xml:space="preserve">https://lmcmic.ca/learn/mortgage-investing-passive-income/</t>
  </si>
  <si>
    <t xml:space="preserve">https://lmcmic.ca/assets/og/learn--mortgage-investing-passive-income.png</t>
  </si>
  <si>
    <t xml:space="preserve">/learn/mortgage-investing-quebec-prairies-atlantic/</t>
  </si>
  <si>
    <t xml:space="preserve">Mortgage Investing in Quebec, Prairies and Atlantic Canada</t>
  </si>
  <si>
    <t xml:space="preserve">Mortgage investing in Quebec, the Prairies and Atlantic Canada: hypothecs, power of sale versus judicial sale, broker statutes and OM limits by province.</t>
  </si>
  <si>
    <t xml:space="preserve">Mortgage Investing in Quebec, the Prairies and Atlantic Canada</t>
  </si>
  <si>
    <t xml:space="preserve">mortgage investing Quebec</t>
  </si>
  <si>
    <t xml:space="preserve">mortgage investing Manitoba; mortgage investing Saskatchewan; mortgage investing Atlantic Canada; mortgage investing Prairies Canada</t>
  </si>
  <si>
    <t xml:space="preserve">how does mortgage investing differ outside Ontario BC and Alberta</t>
  </si>
  <si>
    <t xml:space="preserve">https://lmcmic.ca/learn/mortgage-investing-quebec-prairies-atlantic/</t>
  </si>
  <si>
    <t xml:space="preserve">https://lmcmic.ca/assets/og/learn--mortgage-investing-quebec-prairies-atlantic.png</t>
  </si>
  <si>
    <t xml:space="preserve">/learn/mortgage-investing-quebec/</t>
  </si>
  <si>
    <t xml:space="preserve">Mortgage Investing in Quebec: Hypothecs and Recourses</t>
  </si>
  <si>
    <t xml:space="preserve">Mortgage investing in Quebec runs on civil law: hypothecs, AMF oversight since 2020 and hypothecary recourses instead of power of sale. What investors check.</t>
  </si>
  <si>
    <t xml:space="preserve">Mortgage Investing in Quebec: A Different Legal System</t>
  </si>
  <si>
    <t xml:space="preserve">mortgage enforcement Quebec hypothecary recourse</t>
  </si>
  <si>
    <t xml:space="preserve">how does mortgage enforcement work in Quebec</t>
  </si>
  <si>
    <t xml:space="preserve">https://lmcmic.ca/learn/mortgage-investing-quebec/</t>
  </si>
  <si>
    <t xml:space="preserve">https://lmcmic.ca/assets/og/learn--mortgage-investing-quebec.png</t>
  </si>
  <si>
    <t xml:space="preserve">/learn/mortgage-investing-vs-bonds/</t>
  </si>
  <si>
    <t xml:space="preserve">Mortgage Investing vs Bonds: Two Kinds of Fixed Income</t>
  </si>
  <si>
    <t xml:space="preserve">Mortgage investing vs bonds: how credit risk, interest-rate risk, liquidity and tax differ between a MIC and a bond fund, with a worked example of each.</t>
  </si>
  <si>
    <t xml:space="preserve">mortgage investing vs bonds</t>
  </si>
  <si>
    <t xml:space="preserve">MIC vs bond ETF income; alternative fixed income investments Canada</t>
  </si>
  <si>
    <t xml:space="preserve">which is better a mortgage fund or a bond fund</t>
  </si>
  <si>
    <t xml:space="preserve">https://lmcmic.ca/learn/mortgage-investing-vs-bonds/</t>
  </si>
  <si>
    <t xml:space="preserve">https://lmcmic.ca/assets/og/learn--mortgage-investing-vs-bonds.png</t>
  </si>
  <si>
    <t xml:space="preserve">/learn/mortgage-investing-vs-dividend-stocks/</t>
  </si>
  <si>
    <t xml:space="preserve">Mortgage Investing vs Dividend Stocks for Income</t>
  </si>
  <si>
    <t xml:space="preserve">Mortgage investing vs dividend stocks for income: debt vs equity, deemed-interest vs dividend tax credit, price risk and growth, compared without a verdict.</t>
  </si>
  <si>
    <t xml:space="preserve">mortgage investing vs dividend stocks</t>
  </si>
  <si>
    <t xml:space="preserve">monthly income investments Canada; income producing investments Canada</t>
  </si>
  <si>
    <t xml:space="preserve">is a mortgage investment better than a dividend portfolio</t>
  </si>
  <si>
    <t xml:space="preserve">https://lmcmic.ca/learn/mortgage-investing-vs-dividend-stocks/</t>
  </si>
  <si>
    <t xml:space="preserve">https://lmcmic.ca/assets/og/learn--mortgage-investing-vs-dividend-stocks.png</t>
  </si>
  <si>
    <t xml:space="preserve">/learn/mortgage-investing-vs-gics/</t>
  </si>
  <si>
    <t xml:space="preserve">Mortgage Investing vs GICs: Yield and Insurance</t>
  </si>
  <si>
    <t xml:space="preserve">Mortgage investing vs GICs: a MIC is not a deposit and has no CDIC insurance. Compare yield, risk, liquidity and tax, and what each choice gives up.</t>
  </si>
  <si>
    <t xml:space="preserve">Mortgage Investing vs GICs: Yield, Insurance and What You Give Up</t>
  </si>
  <si>
    <t xml:space="preserve">mortgage investing vs GIC</t>
  </si>
  <si>
    <t xml:space="preserve">MIC vs GIC Canada; mortgage investing vs high interest savings; best alternative to GIC Canada</t>
  </si>
  <si>
    <t xml:space="preserve">is a MIC CDIC insured</t>
  </si>
  <si>
    <t xml:space="preserve">https://lmcmic.ca/learn/mortgage-investing-vs-gics/</t>
  </si>
  <si>
    <t xml:space="preserve">https://lmcmic.ca/assets/og/learn--mortgage-investing-vs-gics.png</t>
  </si>
  <si>
    <t xml:space="preserve">/learn/mortgage-investing-vs-rental-property/</t>
  </si>
  <si>
    <t xml:space="preserve">Mortgage Investing vs Owning a Rental Property</t>
  </si>
  <si>
    <t xml:space="preserve">Mortgage investing vs rental property: appreciation and leverage against no landlord work and a prior claim. Cash flow, tax, liquidity and risk compared.</t>
  </si>
  <si>
    <t xml:space="preserve">mortgage investing vs rental property</t>
  </si>
  <si>
    <t xml:space="preserve">real estate exposure without owning property; mortgage fund vs rental income</t>
  </si>
  <si>
    <t xml:space="preserve">which is better a MIC or a rental property</t>
  </si>
  <si>
    <t xml:space="preserve">https://lmcmic.ca/learn/mortgage-investing-vs-rental-property/</t>
  </si>
  <si>
    <t xml:space="preserve">https://lmcmic.ca/assets/og/learn--mortgage-investing-vs-rental-property.png</t>
  </si>
  <si>
    <t xml:space="preserve">/learn/mortgage-investment-diversification/</t>
  </si>
  <si>
    <t xml:space="preserve">Mortgage Investment Diversification and Concentration</t>
  </si>
  <si>
    <t xml:space="preserve">Mortgage investment diversification explained: borrower, geographic, property-type and maturity concentration, and what to look for in a MIC's documents.</t>
  </si>
  <si>
    <t xml:space="preserve">Mortgage Investment Diversification: Concentration Risk in a Mortgage Portfolio</t>
  </si>
  <si>
    <t xml:space="preserve">mortgage investment diversification</t>
  </si>
  <si>
    <t xml:space="preserve">borrower concentration risk MIC; geographic concentration risk mortgage fund</t>
  </si>
  <si>
    <t xml:space="preserve">how much of my portfolio should be in mortgage investments</t>
  </si>
  <si>
    <t xml:space="preserve">https://lmcmic.ca/learn/mortgage-investment-diversification/</t>
  </si>
  <si>
    <t xml:space="preserve">https://lmcmic.ca/assets/og/learn--mortgage-investment-diversification.png</t>
  </si>
  <si>
    <t xml:space="preserve">/learn/mortgage-investment-fees/</t>
  </si>
  <si>
    <t xml:space="preserve">Mortgage Investment Fees in Canada, Itemized</t>
  </si>
  <si>
    <t xml:space="preserve">Mortgage investment fees in Canada, itemized: lender fees, MIC management fees, administration charges, dealer and trustee fees, and where each is disclosed.</t>
  </si>
  <si>
    <t xml:space="preserve">Mortgage Investment Fees in Canada: The Real Fee Stack, Itemized</t>
  </si>
  <si>
    <t xml:space="preserve">mortgage investment fees Canada</t>
  </si>
  <si>
    <t xml:space="preserve">MIC management fee; mortgage administration fee investor; lender fee mortgage investment</t>
  </si>
  <si>
    <t xml:space="preserve">what are the hidden fees in a MIC</t>
  </si>
  <si>
    <t xml:space="preserve">https://lmcmic.ca/learn/mortgage-investment-fees/</t>
  </si>
  <si>
    <t xml:space="preserve">https://lmcmic.ca/assets/og/learn--mortgage-investment-fees.png</t>
  </si>
  <si>
    <t xml:space="preserve">/learn/mortgage-investment-red-flags/</t>
  </si>
  <si>
    <t xml:space="preserve">Mortgage Investment Red Flags and Fraud Prevention</t>
  </si>
  <si>
    <t xml:space="preserve">Mortgage investment red flags: warning signs that recur in Canadian regulator alerts, how to check each one, and where to verify a seller or report concerns.</t>
  </si>
  <si>
    <t xml:space="preserve">mortgage investment red flags</t>
  </si>
  <si>
    <t xml:space="preserve">mortgage investment fraud prevention; what are the warning signs of a bad mortgage investment</t>
  </si>
  <si>
    <t xml:space="preserve">what are the warning signs of a bad mortgage investment</t>
  </si>
  <si>
    <t xml:space="preserve">https://lmcmic.ca/learn/mortgage-investment-red-flags/</t>
  </si>
  <si>
    <t xml:space="preserve">https://lmcmic.ca/assets/og/learn--mortgage-investment-red-flags.png</t>
  </si>
  <si>
    <t xml:space="preserve">/learn/mortgage-investment-regulation-alberta/</t>
  </si>
  <si>
    <t xml:space="preserve">Mortgage Investing in Alberta: Regulation and Enforcement</t>
  </si>
  <si>
    <t xml:space="preserve">Mortgage investing in Alberta involves RECA, the Alberta Securities Commission and court-supervised enforcement. Who regulates what, and what to check.</t>
  </si>
  <si>
    <t xml:space="preserve">Mortgage Investing in Alberta: Regulators, Licensing and Judicial Sale Explained</t>
  </si>
  <si>
    <t xml:space="preserve">invest in mortgages Alberta; judicial sale Alberta mortgage investor</t>
  </si>
  <si>
    <t xml:space="preserve">who regulates mortgage brokers in Alberta</t>
  </si>
  <si>
    <t xml:space="preserve">https://lmcmic.ca/learn/mortgage-investment-regulation-alberta/</t>
  </si>
  <si>
    <t xml:space="preserve">https://lmcmic.ca/assets/og/learn--mortgage-investment-regulation-alberta.png</t>
  </si>
  <si>
    <t xml:space="preserve">/learn/mortgage-investment-regulation-british-columbia/</t>
  </si>
  <si>
    <t xml:space="preserve">BC Mortgage Services Act: What Investors Need to Know</t>
  </si>
  <si>
    <t xml:space="preserve">BC's Mortgage Services Act is scheduled to take effect on 13 October 2026, making mortgage lending and administration licensed. What it changes for investors.</t>
  </si>
  <si>
    <t xml:space="preserve">BC Mortgage Services Act: What Investors Need to Know About British Columbia's October 2026 Change</t>
  </si>
  <si>
    <t xml:space="preserve">BC Mortgage Services Act investors</t>
  </si>
  <si>
    <t xml:space="preserve">mortgage investing British Columbia; private lending BC</t>
  </si>
  <si>
    <t xml:space="preserve">what is changing for mortgage lenders in BC</t>
  </si>
  <si>
    <t xml:space="preserve">https://lmcmic.ca/learn/mortgage-investment-regulation-british-columbia/</t>
  </si>
  <si>
    <t xml:space="preserve">https://lmcmic.ca/assets/og/learn--mortgage-investment-regulation-british-columbia.png</t>
  </si>
  <si>
    <t xml:space="preserve">/learn/mortgage-investment-regulation-canada/</t>
  </si>
  <si>
    <t xml:space="preserve">Mortgage Investment Regulations in Canada | Lendmax Capital MIC</t>
  </si>
  <si>
    <t xml:space="preserve">Mortgage investment regulations in Canada are provincial, not federal. Who licenses brokers, who oversees MIC shares, what tax law does, what it leaves out.</t>
  </si>
  <si>
    <t xml:space="preserve">Mortgage Investment Regulations in Canada: Who Oversees What</t>
  </si>
  <si>
    <t xml:space="preserve">mortgage investment regulations Canada</t>
  </si>
  <si>
    <t xml:space="preserve">how is the MIC market regulated; mortgage broker licensing by province</t>
  </si>
  <si>
    <t xml:space="preserve">is private mortgage investing regulated in Canada</t>
  </si>
  <si>
    <t xml:space="preserve">https://lmcmic.ca/learn/mortgage-investment-regulation-canada/</t>
  </si>
  <si>
    <t xml:space="preserve">https://lmcmic.ca/assets/og/learn--mortgage-investment-regulation-canada.png</t>
  </si>
  <si>
    <t xml:space="preserve">/learn/mortgage-investment-regulation-ontario/</t>
  </si>
  <si>
    <t xml:space="preserve">FSRA and the Private Mortgage Investor in Ontario</t>
  </si>
  <si>
    <t xml:space="preserve">What FSRA means for a private mortgage investor in Ontario: who licenses brokers and administrators, where the OSC fits, disclosure and power of sale.</t>
  </si>
  <si>
    <t xml:space="preserve">FSRA and the Private Mortgage Investor: Ontario's Rules Explained</t>
  </si>
  <si>
    <t xml:space="preserve">FSRA private mortgage investor</t>
  </si>
  <si>
    <t xml:space="preserve">mortgage investor disclosure form Ontario; mortgage investing Ontario</t>
  </si>
  <si>
    <t xml:space="preserve">who regulates private mortgage investing in Ontario</t>
  </si>
  <si>
    <t xml:space="preserve">https://lmcmic.ca/learn/mortgage-investment-regulation-ontario/</t>
  </si>
  <si>
    <t xml:space="preserve">https://lmcmic.ca/assets/og/learn--mortgage-investment-regulation-ontario.png</t>
  </si>
  <si>
    <t xml:space="preserve">/learn/mortgage-investment-returns/</t>
  </si>
  <si>
    <t xml:space="preserve">Where Mortgage Investment Returns Come From | Lendmax Capital MIC</t>
  </si>
  <si>
    <t xml:space="preserve">Mortgage investment returns come from borrower interest and fees, less management costs, idle cash and loan losses. How the stack works, with an example.</t>
  </si>
  <si>
    <t xml:space="preserve">Where Do Mortgage Investment Returns Actually Come From?</t>
  </si>
  <si>
    <t xml:space="preserve">mortgage investment income; how do mortgage investors make money</t>
  </si>
  <si>
    <t xml:space="preserve">what is a realistic return on a private mortgage investment</t>
  </si>
  <si>
    <t xml:space="preserve">https://lmcmic.ca/learn/mortgage-investment-returns/</t>
  </si>
  <si>
    <t xml:space="preserve">https://lmcmic.ca/assets/og/learn--mortgage-investment-returns.png</t>
  </si>
  <si>
    <t xml:space="preserve">/learn/mortgage-investment-risks/</t>
  </si>
  <si>
    <t xml:space="preserve">Mortgage Investment Risks in Canada | Lendmax Capital MIC</t>
  </si>
  <si>
    <t xml:space="preserve">Mortgage investment risks in Canada explained plainly: borrower default, property value, position, enforcement, liquidity, rates, leverage and manager risk.</t>
  </si>
  <si>
    <t xml:space="preserve">Mortgage Investment Risks in Canada: What Can Go Wrong and Why</t>
  </si>
  <si>
    <t xml:space="preserve">mortgage investment risks</t>
  </si>
  <si>
    <t xml:space="preserve">risks of private mortgage investing; what are the risks of investing in a MIC</t>
  </si>
  <si>
    <t xml:space="preserve">is investing in mortgages safe in Canada</t>
  </si>
  <si>
    <t xml:space="preserve">https://lmcmic.ca/learn/mortgage-investment-risks/</t>
  </si>
  <si>
    <t xml:space="preserve">https://lmcmic.ca/assets/og/learn--mortgage-investment-risks.png</t>
  </si>
  <si>
    <t xml:space="preserve">/learn/mortgage-investment-rules-by-province/</t>
  </si>
  <si>
    <t xml:space="preserve">Mortgage Broker Licensing by Province, Compared</t>
  </si>
  <si>
    <t xml:space="preserve">Mortgage broker licensing by province, compared: regulators, statutes, administrator licences, securities rules and enforcement routes, with gaps flagged.</t>
  </si>
  <si>
    <t xml:space="preserve">Mortgage Broker Licensing by Province: Investment Rules Compared</t>
  </si>
  <si>
    <t xml:space="preserve">mortgage broker licensing by province</t>
  </si>
  <si>
    <t xml:space="preserve">mortgage administrator licence Canada; single regulator provinces mortgage securities</t>
  </si>
  <si>
    <t xml:space="preserve">which provinces license mortgage administrators</t>
  </si>
  <si>
    <t xml:space="preserve">https://lmcmic.ca/learn/mortgage-investment-rules-by-province/</t>
  </si>
  <si>
    <t xml:space="preserve">https://lmcmic.ca/assets/og/learn--mortgage-investment-rules-by-province.png</t>
  </si>
  <si>
    <t xml:space="preserve">/learn/mortgage-investment-structures-compared/</t>
  </si>
  <si>
    <t xml:space="preserve">Mortgage Investment Structures in Canada Compared</t>
  </si>
  <si>
    <t xml:space="preserve">Mortgage investment structures in Canada compared: MIC, mortgage trust, limited partnership and syndicated mortgage, by tax, liquidity, control and risk.</t>
  </si>
  <si>
    <t xml:space="preserve">Comparing Mortgage Investment Structures in Canada: MIC, Fund, LP, Trust and Syndicated</t>
  </si>
  <si>
    <t xml:space="preserve">mortgage investment structures Canada</t>
  </si>
  <si>
    <t xml:space="preserve">mortgage fund vs MIC; MIC vs syndicated mortgage; mortgage limited partnership Canada</t>
  </si>
  <si>
    <t xml:space="preserve">what is the difference between a MIC and a syndicated mortgage</t>
  </si>
  <si>
    <t xml:space="preserve">https://lmcmic.ca/learn/mortgage-investment-structures-compared/</t>
  </si>
  <si>
    <t xml:space="preserve">https://lmcmic.ca/assets/og/learn--mortgage-investment-structures-compared.png</t>
  </si>
  <si>
    <t xml:space="preserve">/learn/mortgage-investment-tax-treatment/</t>
  </si>
  <si>
    <t xml:space="preserve">Mortgage Investment Tax Treatment in Canada | Lendmax Capital MIC</t>
  </si>
  <si>
    <t xml:space="preserve">Mortgage investment tax treatment in Canada as at October 2026: why MIC dividends are taxed as interest, what the T5 shows, and how DRIPs and RRSPs fit in.</t>
  </si>
  <si>
    <t xml:space="preserve">Mortgage Investment Tax Treatment in Canada: How MIC Dividends and Mortgage Interest Are Taxed</t>
  </si>
  <si>
    <t xml:space="preserve">mortgage investment tax treatment Canada</t>
  </si>
  <si>
    <t xml:space="preserve">how are MIC dividends taxed; MIC dividends taxed as interest income; MIC T5 slip</t>
  </si>
  <si>
    <t xml:space="preserve">https://lmcmic.ca/learn/mortgage-investment-tax-treatment/</t>
  </si>
  <si>
    <t xml:space="preserve">https://lmcmic.ca/assets/og/learn--mortgage-investment-tax-treatment.png</t>
  </si>
  <si>
    <t xml:space="preserve">/learn/mortgage-investment-terms-renewals-and-exits/</t>
  </si>
  <si>
    <t xml:space="preserve">Mortgage Investment Term Length, Renewals and Exits</t>
  </si>
  <si>
    <t xml:space="preserve">Mortgage investment term length: what happens at maturity, renewal, early repayment and discharge, and what each means for when investors are repaid.</t>
  </si>
  <si>
    <t xml:space="preserve">Mortgage Investment Term Length, Renewals, Early Repayment and Discharge</t>
  </si>
  <si>
    <t xml:space="preserve">mortgage investment term length</t>
  </si>
  <si>
    <t xml:space="preserve">mortgage renewal investor impact; early repayment mortgage investment; mortgage discharge investor</t>
  </si>
  <si>
    <t xml:space="preserve">what happens if the borrower does not renew</t>
  </si>
  <si>
    <t xml:space="preserve">https://lmcmic.ca/learn/mortgage-investment-terms-renewals-and-exits/</t>
  </si>
  <si>
    <t xml:space="preserve">https://lmcmic.ca/assets/og/learn--mortgage-investment-terms-renewals-and-exits.png</t>
  </si>
  <si>
    <t xml:space="preserve">/learn/mortgage-investor-due-diligence-checklist/</t>
  </si>
  <si>
    <t xml:space="preserve">Mortgage Investor Due Diligence Checklist | Lendmax Capital MIC</t>
  </si>
  <si>
    <t xml:space="preserve">A printable mortgage investor due diligence checklist: what to check on the borrower, property, title, loan terms, structure and manager, and where to look.</t>
  </si>
  <si>
    <t xml:space="preserve">The Mortgage Investor's Due Diligence Checklist</t>
  </si>
  <si>
    <t xml:space="preserve">mortgage investor due diligence</t>
  </si>
  <si>
    <t xml:space="preserve">mortgage investment red flags; what should I check in a mortgage investment before I commit</t>
  </si>
  <si>
    <t xml:space="preserve">what should I check in a mortgage investment before I commit</t>
  </si>
  <si>
    <t xml:space="preserve">https://lmcmic.ca/learn/mortgage-investor-due-diligence-checklist/</t>
  </si>
  <si>
    <t xml:space="preserve">https://lmcmic.ca/assets/og/learn--mortgage-investor-due-diligence-checklist.png</t>
  </si>
  <si>
    <t xml:space="preserve">/learn/non-resident-mortgage-investing/</t>
  </si>
  <si>
    <t xml:space="preserve">Non-Resident Investing in a Canadian MIC | Lendmax Capital MIC</t>
  </si>
  <si>
    <t xml:space="preserve">Non-resident investing in a Canadian MIC as at October 2026: whether you can invest from abroad, how Part XIII withholding works, and what to confirm first.</t>
  </si>
  <si>
    <t xml:space="preserve">Non-Resident Investing in a Canadian MIC: Eligibility, Withholding Tax and Process</t>
  </si>
  <si>
    <t xml:space="preserve">non-resident investing in Canadian MIC</t>
  </si>
  <si>
    <t xml:space="preserve">withholding tax MIC non resident</t>
  </si>
  <si>
    <t xml:space="preserve">can I invest in Canadian mortgages if I live abroad</t>
  </si>
  <si>
    <t xml:space="preserve">https://lmcmic.ca/learn/non-resident-mortgage-investing/</t>
  </si>
  <si>
    <t xml:space="preserve">https://lmcmic.ca/assets/og/learn--non-resident-mortgage-investing.png</t>
  </si>
  <si>
    <t xml:space="preserve">/learn/power-of-sale-for-mortgage-investors/</t>
  </si>
  <si>
    <t xml:space="preserve">Power of Sale in Canada: What It Means for Investors</t>
  </si>
  <si>
    <t xml:space="preserve">Power of sale in Canada for mortgage investors: where it applies, how it works in Ontario, how long it can take, who is paid first and what can be lost.</t>
  </si>
  <si>
    <t xml:space="preserve">Power of Sale in Canada: What It Means for a Mortgage Investor</t>
  </si>
  <si>
    <t xml:space="preserve">power of sale Canada investor</t>
  </si>
  <si>
    <t xml:space="preserve">what is power of sale; how long does power of sale take</t>
  </si>
  <si>
    <t xml:space="preserve">how does power of sale work for an investor</t>
  </si>
  <si>
    <t xml:space="preserve">https://lmcmic.ca/learn/power-of-sale-for-mortgage-investors/</t>
  </si>
  <si>
    <t xml:space="preserve">https://lmcmic.ca/assets/og/learn--power-of-sale-for-mortgage-investors.png</t>
  </si>
  <si>
    <t xml:space="preserve">/learn/prohibited-investment-rrsp-mic/</t>
  </si>
  <si>
    <t xml:space="preserve">Prohibited Investment Rules: RRSPs, Mortgages and MICs</t>
  </si>
  <si>
    <t xml:space="preserve">When MIC shares or a mortgage become a prohibited investment in an RRSP or TFSA: the 10% significant-interest rule, non-arm's-length debt, and what to check.</t>
  </si>
  <si>
    <t xml:space="preserve">Prohibited Investment Rules for RRSP Mortgage Holdings: When a MIC Becomes a Trap</t>
  </si>
  <si>
    <t xml:space="preserve">prohibited investment RRSP mortgage</t>
  </si>
  <si>
    <t xml:space="preserve">significant interest 10 percent rule registered plan; qualified investment mortgage investment corporation; non-arm's length mortgage RRSP</t>
  </si>
  <si>
    <t xml:space="preserve">can my RRSP hold shares of a MIC I have a big stake in</t>
  </si>
  <si>
    <t xml:space="preserve">https://lmcmic.ca/learn/prohibited-investment-rrsp-mic/</t>
  </si>
  <si>
    <t xml:space="preserve">https://lmcmic.ca/assets/og/learn--prohibited-investment-rrsp-mic.png</t>
  </si>
  <si>
    <t xml:space="preserve">/learn/property-marketability-risk/</t>
  </si>
  <si>
    <t xml:space="preserve">Property Marketability Risk in a Mortgage Investment</t>
  </si>
  <si>
    <t xml:space="preserve">Property marketability risk in a mortgage: why how fast a property sells matters as much as its appraised value, and what happens if it sells for less.</t>
  </si>
  <si>
    <t xml:space="preserve">Property Value and Marketability Risk in a Mortgage Investment</t>
  </si>
  <si>
    <t xml:space="preserve">property marketability risk mortgage</t>
  </si>
  <si>
    <t xml:space="preserve">real estate market risk mortgage investment; rural property mortgage investment risk</t>
  </si>
  <si>
    <t xml:space="preserve">what happens if the property is worth less than the mortgage</t>
  </si>
  <si>
    <t xml:space="preserve">https://lmcmic.ca/learn/property-marketability-risk/</t>
  </si>
  <si>
    <t xml:space="preserve">https://lmcmic.ca/assets/og/learn--property-marketability-risk.png</t>
  </si>
  <si>
    <t xml:space="preserve">/learn/reading-mic-financial-statements/</t>
  </si>
  <si>
    <t xml:space="preserve">How to Read a MIC Financial Statement and OM</t>
  </si>
  <si>
    <t xml:space="preserve">How to read a MIC financial statement and offering memorandum: the audit opinion, expected credit losses, payout ratio, weighted-average LTV and maturities.</t>
  </si>
  <si>
    <t xml:space="preserve">How to Read a MIC's Financial Statements and Offering Memorandum</t>
  </si>
  <si>
    <t xml:space="preserve">how to read a MIC financial statement</t>
  </si>
  <si>
    <t xml:space="preserve">how to read a MIC offering memorandum; loan loss reserve MIC; expected credit loss mortgage fund IFRS 9; weighted average LTV MIC</t>
  </si>
  <si>
    <t xml:space="preserve">what should I look for in a MIC's financial statements</t>
  </si>
  <si>
    <t xml:space="preserve">https://lmcmic.ca/learn/reading-mic-financial-statements/</t>
  </si>
  <si>
    <t xml:space="preserve">https://lmcmic.ca/assets/og/learn--reading-mic-financial-statements.png</t>
  </si>
  <si>
    <t xml:space="preserve">/learn/real-estate-exposure-without-being-a-landlord/</t>
  </si>
  <si>
    <t xml:space="preserve">Real Estate Exposure Without Owning Property</t>
  </si>
  <si>
    <t xml:space="preserve">How to get real estate exposure without owning property in Canada: mortgages, MICs, REITs and rentals compared, including the appreciation a lender gives up.</t>
  </si>
  <si>
    <t xml:space="preserve">Real Estate Exposure Without Owning Property: Investing Without Becoming a Landlord</t>
  </si>
  <si>
    <t xml:space="preserve">real estate exposure without owning property</t>
  </si>
  <si>
    <t xml:space="preserve">passive real estate investing Canada; mortgage passive income</t>
  </si>
  <si>
    <t xml:space="preserve">how do I get real estate exposure without buying property</t>
  </si>
  <si>
    <t xml:space="preserve">https://lmcmic.ca/learn/real-estate-exposure-without-being-a-landlord/</t>
  </si>
  <si>
    <t xml:space="preserve">https://lmcmic.ca/assets/og/learn--real-estate-exposure-without-being-a-landlord.png</t>
  </si>
  <si>
    <t xml:space="preserve">/learn/reinvestment-risk-mortgage-investing/</t>
  </si>
  <si>
    <t xml:space="preserve">Reinvestment Risk in Mortgage Investing Explained</t>
  </si>
  <si>
    <t xml:space="preserve">Reinvestment risk in mortgage investing is the cost of capital coming back early or at maturity. How short terms, prepayment and cash drag reduce income.</t>
  </si>
  <si>
    <t xml:space="preserve">Reinvestment Risk in Mortgage Investing: The Cost of Money Coming Back Too Soon</t>
  </si>
  <si>
    <t xml:space="preserve">reinvestment risk mortgage investing</t>
  </si>
  <si>
    <t xml:space="preserve">short term mortgage investment Canada; mortgage investment term length</t>
  </si>
  <si>
    <t xml:space="preserve">what is reinvestment risk in mortgage investing</t>
  </si>
  <si>
    <t xml:space="preserve">https://lmcmic.ca/learn/reinvestment-risk-mortgage-investing/</t>
  </si>
  <si>
    <t xml:space="preserve">https://lmcmic.ca/assets/og/learn--reinvestment-risk-mortgage-investing.png</t>
  </si>
  <si>
    <t xml:space="preserve">/learn/residential-mortgage-investing/</t>
  </si>
  <si>
    <t xml:space="preserve">Residential Mortgage Investing in Canada | Lendmax Capital MIC</t>
  </si>
  <si>
    <t xml:space="preserve">Residential mortgage investing lends against Canadian homes. How housing collateral is valued, why MICs hold it, how it differs from commercial and its risks.</t>
  </si>
  <si>
    <t xml:space="preserve">Residential Mortgage Investing in Canada</t>
  </si>
  <si>
    <t xml:space="preserve">residential mortgage investing</t>
  </si>
  <si>
    <t xml:space="preserve">residential vs commercial mortgage investing; housing collateral</t>
  </si>
  <si>
    <t xml:space="preserve">is residential mortgage investing safer</t>
  </si>
  <si>
    <t xml:space="preserve">https://lmcmic.ca/learn/residential-mortgage-investing/</t>
  </si>
  <si>
    <t xml:space="preserve">https://lmcmic.ca/assets/og/learn--residential-mortgage-investing.png</t>
  </si>
  <si>
    <t xml:space="preserve">/learn/residential-vs-commercial-mortgage-investing/</t>
  </si>
  <si>
    <t xml:space="preserve">Residential vs Commercial Mortgage Investing</t>
  </si>
  <si>
    <t xml:space="preserve">Residential vs commercial mortgage investing in Canada compared: how each property is valued, who repays the loan, how it sells and where each can lose money.</t>
  </si>
  <si>
    <t xml:space="preserve">residential vs commercial mortgage investing</t>
  </si>
  <si>
    <t xml:space="preserve">residential mortgage investing; commercial mortgage investing Canada</t>
  </si>
  <si>
    <t xml:space="preserve">which is safer residential or commercial mortgage investing</t>
  </si>
  <si>
    <t xml:space="preserve">https://lmcmic.ca/learn/residential-vs-commercial-mortgage-investing/</t>
  </si>
  <si>
    <t xml:space="preserve">https://lmcmic.ca/assets/og/learn--residential-vs-commercial-mortgage-investing.png</t>
  </si>
  <si>
    <t xml:space="preserve">/learn/rrsp-tfsa-rrif-mortgage-investments/</t>
  </si>
  <si>
    <t xml:space="preserve">RRSP Mortgage Investment Rules in Canada (TFSA, RRIF)</t>
  </si>
  <si>
    <t xml:space="preserve">RRSP mortgage investment rules in Canada as at October 2026: when MIC shares qualify for an RRSP, TFSA, RRIF or FHSA, how trustees work, and the traps.</t>
  </si>
  <si>
    <t xml:space="preserve">RRSP Mortgage Investment Rules in Canada: Holding Mortgage Investments in an RRSP, TFSA or RRIF</t>
  </si>
  <si>
    <t xml:space="preserve">RRSP mortgage investment rules Canada</t>
  </si>
  <si>
    <t xml:space="preserve">is a MIC RRSP eligible; is a MIC TFSA eligible; mortgage investment RRSP TFSA RRIF eligible; FHSA mortgage investment</t>
  </si>
  <si>
    <t xml:space="preserve">can I invest in mortgages through my RRSP</t>
  </si>
  <si>
    <t xml:space="preserve">https://lmcmic.ca/learn/rrsp-tfsa-rrif-mortgage-investments/</t>
  </si>
  <si>
    <t xml:space="preserve">https://lmcmic.ca/assets/og/learn--rrsp-tfsa-rrif-mortgage-investments.png</t>
  </si>
  <si>
    <t xml:space="preserve">/learn/second-mortgage-investments/</t>
  </si>
  <si>
    <t xml:space="preserve">Second Mortgage Investments: Yield and Risk | Lendmax Capital MIC</t>
  </si>
  <si>
    <t xml:space="preserve">Second mortgage investments pay more because they are repaid after the first mortgage. How combined loan-to-value works, the risks, and what to check.</t>
  </si>
  <si>
    <t xml:space="preserve">Second Mortgage Investments: The Yield and the Trade-Off</t>
  </si>
  <si>
    <t xml:space="preserve">second mortgage investments</t>
  </si>
  <si>
    <t xml:space="preserve">second position mortgage investment; combined loan to value second mortgage</t>
  </si>
  <si>
    <t xml:space="preserve">what are the risks of a second mortgage investment</t>
  </si>
  <si>
    <t xml:space="preserve">https://lmcmic.ca/learn/second-mortgage-investments/</t>
  </si>
  <si>
    <t xml:space="preserve">https://lmcmic.ca/assets/og/learn--second-mortgage-investments.png</t>
  </si>
  <si>
    <t xml:space="preserve">/learn/short-term-mortgage-investments/</t>
  </si>
  <si>
    <t xml:space="preserve">Short-Term Mortgage Investment in Canada, Explained</t>
  </si>
  <si>
    <t xml:space="preserve">A short term mortgage investment in Canada can mean a short loan or quick access to your money. Why the two differ and how lock-ups and redemptions work.</t>
  </si>
  <si>
    <t xml:space="preserve">Short-Term Mortgage Investments in Canada: What Flexibility Investors Actually Get</t>
  </si>
  <si>
    <t xml:space="preserve">short term mortgage investment Canada</t>
  </si>
  <si>
    <t xml:space="preserve">bridge mortgage investing; lock up period mortgage investment</t>
  </si>
  <si>
    <t xml:space="preserve">are MIC funds a good option for short term investments</t>
  </si>
  <si>
    <t xml:space="preserve">https://lmcmic.ca/learn/short-term-mortgage-investments/</t>
  </si>
  <si>
    <t xml:space="preserve">https://lmcmic.ca/assets/og/learn--short-term-mortgage-investments.png</t>
  </si>
  <si>
    <t xml:space="preserve">/learn/syndicated-mortgage-rules/</t>
  </si>
  <si>
    <t xml:space="preserve">Syndicated Mortgage Investment Rules in Canada</t>
  </si>
  <si>
    <t xml:space="preserve">A syndicated mortgage investment pools several lenders in one loan. What changed in 2021, qualified vs non-qualified in Ontario, the risks and what to check.</t>
  </si>
  <si>
    <t xml:space="preserve">Syndicated Mortgage Investment Rules in Canada After the 2021 Reforms</t>
  </si>
  <si>
    <t xml:space="preserve">syndicated mortgage investment</t>
  </si>
  <si>
    <t xml:space="preserve">qualified syndicated mortgage; non-qualified syndicated mortgage; syndicated mortgage risks</t>
  </si>
  <si>
    <t xml:space="preserve">what is a syndicated mortgage</t>
  </si>
  <si>
    <t xml:space="preserve">https://lmcmic.ca/learn/syndicated-mortgage-rules/</t>
  </si>
  <si>
    <t xml:space="preserve">https://lmcmic.ca/assets/og/learn--syndicated-mortgage-rules.png</t>
  </si>
  <si>
    <t xml:space="preserve">/learn/title-insurance-and-legal-file/</t>
  </si>
  <si>
    <t xml:space="preserve">Title Search for a Mortgage Investment: What to Check</t>
  </si>
  <si>
    <t xml:space="preserve">A title search for a mortgage investment shows who owns a property and where the mortgage ranks. What title and property insurance cover and what to ask for.</t>
  </si>
  <si>
    <t xml:space="preserve">The Title Search, Insurance and Legal File Behind a Mortgage Investment</t>
  </si>
  <si>
    <t xml:space="preserve">title search mortgage investment</t>
  </si>
  <si>
    <t xml:space="preserve">title insurance mortgage investor; property insurance mortgage investor; independent legal advice mortgage investment</t>
  </si>
  <si>
    <t xml:space="preserve">what happens if the property burns down</t>
  </si>
  <si>
    <t xml:space="preserve">https://lmcmic.ca/learn/title-insurance-and-legal-file/</t>
  </si>
  <si>
    <t xml:space="preserve">https://lmcmic.ca/assets/og/learn--title-insurance-and-legal-file.png</t>
  </si>
  <si>
    <t xml:space="preserve">/learn/what-is-a-mortgage-investment-corporation/</t>
  </si>
  <si>
    <t xml:space="preserve">What Is a Mortgage Investment Corporation (MIC)?</t>
  </si>
  <si>
    <t xml:space="preserve">A mortgage investment corporation (MIC) is a Canadian company that pools investor money into mortgages and pays out its income. How MICs work, tax and risks.</t>
  </si>
  <si>
    <t xml:space="preserve">what is a mortgage investment corporation</t>
  </si>
  <si>
    <t xml:space="preserve">mortgage investment corporation; MIC investment; how do MICs work</t>
  </si>
  <si>
    <t xml:space="preserve">what is a mortgage investment corporation in Canada</t>
  </si>
  <si>
    <t xml:space="preserve">https://lmcmic.ca/learn/what-is-a-mortgage-investment-corporation/</t>
  </si>
  <si>
    <t xml:space="preserve">https://lmcmic.ca/assets/og/learn--what-is-a-mortgage-investment-corporation.png</t>
  </si>
  <si>
    <t xml:space="preserve">/learn/what-is-mortgage-investing/</t>
  </si>
  <si>
    <t xml:space="preserve">What Is Mortgage Investing in Canada? | Lendmax Capital MIC</t>
  </si>
  <si>
    <t xml:space="preserve">Mortgage investing means lending money secured by Canadian real estate in return for interest. How it works, the ways to take part, and the risks to weigh.</t>
  </si>
  <si>
    <t xml:space="preserve">What Is Mortgage Investing in Canada?</t>
  </si>
  <si>
    <t xml:space="preserve">mortgage investing</t>
  </si>
  <si>
    <t xml:space="preserve">invest in mortgages Canada; mortgage investment Canada; real estate debt investing</t>
  </si>
  <si>
    <t xml:space="preserve">what is mortgage investing</t>
  </si>
  <si>
    <t xml:space="preserve">https://lmcmic.ca/learn/what-is-mortgage-investing/</t>
  </si>
  <si>
    <t xml:space="preserve">https://lmcmic.ca/assets/og/learn--what-is-mortgage-investing.png</t>
  </si>
  <si>
    <t xml:space="preserve">/learn/what-to-expect-as-a-mortgage-investor/</t>
  </si>
  <si>
    <t xml:space="preserve">Mortgage Investment Reporting to Investors: What to Expect</t>
  </si>
  <si>
    <t xml:space="preserve">What mortgage investment reporting to investors looks like in Canada: the statements, audited financials, tax slips and notices to expect, and what to check.</t>
  </si>
  <si>
    <t xml:space="preserve">Mortgage Investment Reporting to Investors: What to Expect From Statements and Communication</t>
  </si>
  <si>
    <t xml:space="preserve">mortgage investment reporting to investors</t>
  </si>
  <si>
    <t xml:space="preserve">how do I monitor my mortgage investment; what documents should I receive as a mortgage investor</t>
  </si>
  <si>
    <t xml:space="preserve">what kind of reporting will I get</t>
  </si>
  <si>
    <t xml:space="preserve">https://lmcmic.ca/learn/what-to-expect-as-a-mortgage-investor/</t>
  </si>
  <si>
    <t xml:space="preserve">https://lmcmic.ca/assets/og/learn--what-to-expect-as-a-mortgage-investor.png</t>
  </si>
  <si>
    <t xml:space="preserve">/learn/who-might-consider-mortgage-investing/</t>
  </si>
  <si>
    <t xml:space="preserve">Who Should Invest in Mortgages? A Two-Sided Answer</t>
  </si>
  <si>
    <t xml:space="preserve">Who should invest in mortgages is an individual question. The traits of investors who might consider it, where it fits poorly, and the risks on both sides.</t>
  </si>
  <si>
    <t xml:space="preserve">Who Should Invest in Mortgages? Who Might Consider It — and Who Probably Should Not</t>
  </si>
  <si>
    <t xml:space="preserve">who should invest in mortgages</t>
  </si>
  <si>
    <t xml:space="preserve">mortgage investing for retirees Canada; diversify portfolio with mortgage investments</t>
  </si>
  <si>
    <t xml:space="preserve">who should consider a MIC</t>
  </si>
  <si>
    <t xml:space="preserve">https://lmcmic.ca/learn/who-might-consider-mortgage-investing/</t>
  </si>
  <si>
    <t xml:space="preserve">https://lmcmic.ca/assets/og/learn--who-might-consider-mortgage-investing.png</t>
  </si>
  <si>
    <t xml:space="preserve">/privacy/</t>
  </si>
  <si>
    <t xml:space="preserve">Privacy Notice | Lendmax Capital MIC</t>
  </si>
  <si>
    <t xml:space="preserve">How Lendmax Capital MIC collects, uses and protects personal information submitted through lmcmic.ca, including investor enquiries and the intake form.</t>
  </si>
  <si>
    <t xml:space="preserve">Privacy Notice</t>
  </si>
  <si>
    <t xml:space="preserve">https://lmcmic.ca/privacy/</t>
  </si>
  <si>
    <t xml:space="preserve">https://lmcmic.ca/assets/og/privacy.png</t>
  </si>
  <si>
    <t xml:space="preserve">/tools/after-tax-yield-calculator/</t>
  </si>
  <si>
    <t xml:space="preserve">Tool</t>
  </si>
  <si>
    <t xml:space="preserve">After-Tax Yield Calculator for Mortgage Investments</t>
  </si>
  <si>
    <t xml:space="preserve">Estimate the after-tax return on a mortgage investment in Canada from amount, gross yield, fees, marginal tax rate and account type. Illustrative only.</t>
  </si>
  <si>
    <t xml:space="preserve">After-Tax Yield Calculator for Mortgage Investments in Canada</t>
  </si>
  <si>
    <t xml:space="preserve">after tax return mortgage investment Canada</t>
  </si>
  <si>
    <t xml:space="preserve">MIC dividends taxed as interest income; mortgage investment tax treatment Canada</t>
  </si>
  <si>
    <t xml:space="preserve">https://lmcmic.ca/tools/after-tax-yield-calculator/</t>
  </si>
  <si>
    <t xml:space="preserve">Organization, FinancialService, WebSite, Article, FAQPage, WebApplication, BreadcrumbList</t>
  </si>
  <si>
    <t xml:space="preserve">https://lmcmic.ca/assets/og/tools--after-tax-yield-calculator.png</t>
  </si>
  <si>
    <t xml:space="preserve">/tools/drip-compounding-calculator/</t>
  </si>
  <si>
    <t xml:space="preserve">Mortgage Investment Compound Interest: DRIP Calculator</t>
  </si>
  <si>
    <t xml:space="preserve">Model mortgage investment compound interest with a DRIP: reinvested quarterly distributions vs cash, with an optional comparison rate. Illustrative only.</t>
  </si>
  <si>
    <t xml:space="preserve">Compound Interest on a Mortgage Investment: How a DRIP Changes the Math</t>
  </si>
  <si>
    <t xml:space="preserve">mortgage investment compound interest</t>
  </si>
  <si>
    <t xml:space="preserve">dividend reinvestment plan MIC; simple vs compound return mortgage investing</t>
  </si>
  <si>
    <t xml:space="preserve">how do I reinvest my mortgage investment distributions</t>
  </si>
  <si>
    <t xml:space="preserve">https://lmcmic.ca/tools/drip-compounding-calculator/</t>
  </si>
  <si>
    <t xml:space="preserve">https://lmcmic.ca/assets/og/tools--drip-compounding-calculator.png</t>
  </si>
  <si>
    <t xml:space="preserve">Keyword</t>
  </si>
  <si>
    <t xml:space="preserve">Keyword type</t>
  </si>
  <si>
    <t xml:space="preserve">Cluster</t>
  </si>
  <si>
    <t xml:space="preserve">Search intent</t>
  </si>
  <si>
    <t xml:space="preserve">Investor stage</t>
  </si>
  <si>
    <t xml:space="preserve">Geography</t>
  </si>
  <si>
    <t xml:space="preserve">Opportunity (1-5)</t>
  </si>
  <si>
    <t xml:space="preserve">Competition (1-5)</t>
  </si>
  <si>
    <t xml:space="preserve">Priority score</t>
  </si>
  <si>
    <t xml:space="preserve">Build tier</t>
  </si>
  <si>
    <t xml:space="preserve">AI / answer-engine relevance</t>
  </si>
  <si>
    <t xml:space="preserve">Workbook target page</t>
  </si>
  <si>
    <t xml:space="preserve">Live page title</t>
  </si>
  <si>
    <t xml:space="preserve">Terms on page</t>
  </si>
  <si>
    <t xml:space="preserve">Measured CA monthly volume</t>
  </si>
  <si>
    <t xml:space="preserve">Volume source &amp; date</t>
  </si>
  <si>
    <t xml:space="preserve">Google position (GSC)</t>
  </si>
  <si>
    <t xml:space="preserve">Clicks, last 28 days (GSC)</t>
  </si>
  <si>
    <t xml:space="preserve">Notes</t>
  </si>
  <si>
    <t xml:space="preserve">Short-tail</t>
  </si>
  <si>
    <t xml:space="preserve">01 Core mortgage investing</t>
  </si>
  <si>
    <t xml:space="preserve">Informational</t>
  </si>
  <si>
    <t xml:space="preserve">Unaware</t>
  </si>
  <si>
    <t xml:space="preserve">Canada (national)</t>
  </si>
  <si>
    <t xml:space="preserve">2 - build early</t>
  </si>
  <si>
    <t xml:space="preserve">High</t>
  </si>
  <si>
    <t xml:space="preserve">Pillar: What is mortgage investing</t>
  </si>
  <si>
    <t xml:space="preserve">invest in mortgages</t>
  </si>
  <si>
    <t xml:space="preserve">invest in mortgages Canada</t>
  </si>
  <si>
    <t xml:space="preserve">Medium-tail</t>
  </si>
  <si>
    <t xml:space="preserve">Educational</t>
  </si>
  <si>
    <t xml:space="preserve">mortgage investment Canada</t>
  </si>
  <si>
    <t xml:space="preserve">mortgage investments</t>
  </si>
  <si>
    <t xml:space="preserve">3 - slower climb</t>
  </si>
  <si>
    <t xml:space="preserve">Medium</t>
  </si>
  <si>
    <t xml:space="preserve">how to invest in mortgages</t>
  </si>
  <si>
    <t xml:space="preserve">Long-tail</t>
  </si>
  <si>
    <t xml:space="preserve">Problem-aware</t>
  </si>
  <si>
    <t xml:space="preserve">Guide: How to invest in mortgages</t>
  </si>
  <si>
    <t xml:space="preserve">Guide: Beginner's guide</t>
  </si>
  <si>
    <t xml:space="preserve">mortgage investing explained</t>
  </si>
  <si>
    <t xml:space="preserve">Solution-aware</t>
  </si>
  <si>
    <t xml:space="preserve">Opportunities / contact page</t>
  </si>
  <si>
    <t xml:space="preserve">mortgage investment opportunities Canada</t>
  </si>
  <si>
    <t xml:space="preserve">mortgage lending as an investment</t>
  </si>
  <si>
    <t xml:space="preserve">investing in real estate debt</t>
  </si>
  <si>
    <t xml:space="preserve">Pillar: Real estate debt investing</t>
  </si>
  <si>
    <t xml:space="preserve">real estate debt investing Canada</t>
  </si>
  <si>
    <t xml:space="preserve">real estate secured investments</t>
  </si>
  <si>
    <t xml:space="preserve">mortgage backed investments Canada</t>
  </si>
  <si>
    <t xml:space="preserve">debt investing vs equity investing real estate</t>
  </si>
  <si>
    <t xml:space="preserve">Comparison: debt vs equity</t>
  </si>
  <si>
    <t xml:space="preserve">what is a mortgage investor</t>
  </si>
  <si>
    <t xml:space="preserve">mortgage investor Canada</t>
  </si>
  <si>
    <t xml:space="preserve">passive real estate investing Canada</t>
  </si>
  <si>
    <t xml:space="preserve">Pillar: Passive income</t>
  </si>
  <si>
    <t xml:space="preserve">02 Private mortgage investing</t>
  </si>
  <si>
    <t xml:space="preserve">Pillar: Private mortgage investing</t>
  </si>
  <si>
    <t xml:space="preserve">private mortgage investments</t>
  </si>
  <si>
    <t xml:space="preserve">private mortgage investing Canada</t>
  </si>
  <si>
    <t xml:space="preserve">how to invest in private mortgages</t>
  </si>
  <si>
    <t xml:space="preserve">1 - quick win</t>
  </si>
  <si>
    <t xml:space="preserve">Guide: How to invest in private mortgages</t>
  </si>
  <si>
    <t xml:space="preserve">private lending Canada</t>
  </si>
  <si>
    <t xml:space="preserve">become a private mortgage lender</t>
  </si>
  <si>
    <t xml:space="preserve">Transactional / investment intent</t>
  </si>
  <si>
    <t xml:space="preserve">Guide: Becoming a private lender</t>
  </si>
  <si>
    <t xml:space="preserve">how to become a private lender in Canada</t>
  </si>
  <si>
    <t xml:space="preserve">Conversational / AI</t>
  </si>
  <si>
    <t xml:space="preserve">private lender vs bank mortgage investor view</t>
  </si>
  <si>
    <t xml:space="preserve">private mortgage lender returns</t>
  </si>
  <si>
    <t xml:space="preserve">Income / cash-flow intent</t>
  </si>
  <si>
    <t xml:space="preserve">Evaluating</t>
  </si>
  <si>
    <t xml:space="preserve">Guide: Returns and cash flow</t>
  </si>
  <si>
    <t xml:space="preserve">individual mortgage investing</t>
  </si>
  <si>
    <t xml:space="preserve">Comparison: MIC vs direct</t>
  </si>
  <si>
    <t xml:space="preserve">Guide: Fractional and syndicated</t>
  </si>
  <si>
    <t xml:space="preserve">whole mortgage investment</t>
  </si>
  <si>
    <t xml:space="preserve">arm's length mortgage investment</t>
  </si>
  <si>
    <t xml:space="preserve">Risk / due diligence</t>
  </si>
  <si>
    <t xml:space="preserve">Guide: Registered plans</t>
  </si>
  <si>
    <t xml:space="preserve">non-arm's length mortgage RRSP</t>
  </si>
  <si>
    <t xml:space="preserve">self-directed RRSP mortgage investment</t>
  </si>
  <si>
    <t xml:space="preserve">private mortgage investment minimum</t>
  </si>
  <si>
    <t xml:space="preserve">FAQ: Minimums and process</t>
  </si>
  <si>
    <t xml:space="preserve">mortgage investment corporation</t>
  </si>
  <si>
    <t xml:space="preserve">03 MICs and mortgage investment entities</t>
  </si>
  <si>
    <t xml:space="preserve">Pillar: What is a MIC</t>
  </si>
  <si>
    <t xml:space="preserve">what is a MIC</t>
  </si>
  <si>
    <t xml:space="preserve">mortgage investment corporation Canada</t>
  </si>
  <si>
    <t xml:space="preserve">how do MICs work</t>
  </si>
  <si>
    <t xml:space="preserve">MIC investments Canada</t>
  </si>
  <si>
    <t xml:space="preserve">Pillar: MIC vs MIE terminology</t>
  </si>
  <si>
    <t xml:space="preserve">MIC vs MIE difference</t>
  </si>
  <si>
    <t xml:space="preserve">Guide: MIC share structure</t>
  </si>
  <si>
    <t xml:space="preserve">MIC preferred shares</t>
  </si>
  <si>
    <t xml:space="preserve">MIC Class A vs Class B shares</t>
  </si>
  <si>
    <t xml:space="preserve">retractable shares MIC</t>
  </si>
  <si>
    <t xml:space="preserve">Existing investor</t>
  </si>
  <si>
    <t xml:space="preserve">Guide: Liquidity and redemption</t>
  </si>
  <si>
    <t xml:space="preserve">how to invest in a MIC</t>
  </si>
  <si>
    <t xml:space="preserve">Ready to invest</t>
  </si>
  <si>
    <t xml:space="preserve">Guide: How to invest in a MIC</t>
  </si>
  <si>
    <t xml:space="preserve">MIC 20 shareholder rule</t>
  </si>
  <si>
    <t xml:space="preserve">Guide: MIC qualification rules</t>
  </si>
  <si>
    <t xml:space="preserve">MIC 25 percent shareholder limit</t>
  </si>
  <si>
    <t xml:space="preserve">section 130.1 Income Tax Act</t>
  </si>
  <si>
    <t xml:space="preserve">how many MICs are there in Canada</t>
  </si>
  <si>
    <t xml:space="preserve">Data: Canadian MIC market</t>
  </si>
  <si>
    <t xml:space="preserve">largest MICs in Canada</t>
  </si>
  <si>
    <t xml:space="preserve">Guide: How to evaluate a MIC</t>
  </si>
  <si>
    <t xml:space="preserve">MIC due diligence checklist</t>
  </si>
  <si>
    <t xml:space="preserve">Tool: MIC due-diligence checklist</t>
  </si>
  <si>
    <t xml:space="preserve">questions to ask before investing in a MIC</t>
  </si>
  <si>
    <t xml:space="preserve">how to read a MIC offering memorandum</t>
  </si>
  <si>
    <t xml:space="preserve">Guide: Reading a MIC's financials</t>
  </si>
  <si>
    <t xml:space="preserve">04 Mortgage funds and structures</t>
  </si>
  <si>
    <t xml:space="preserve">Pillar: Mortgage funds</t>
  </si>
  <si>
    <t xml:space="preserve">mortgage income fund</t>
  </si>
  <si>
    <t xml:space="preserve">mortgage fund vs MIC</t>
  </si>
  <si>
    <t xml:space="preserve">Comparison: structures</t>
  </si>
  <si>
    <t xml:space="preserve">Guide: Syndicated mortgages</t>
  </si>
  <si>
    <t xml:space="preserve">qualified syndicated mortgage</t>
  </si>
  <si>
    <t xml:space="preserve">Ontario</t>
  </si>
  <si>
    <t xml:space="preserve">Ontario-specific regulatory term</t>
  </si>
  <si>
    <t xml:space="preserve">non-qualified syndicated mortgage</t>
  </si>
  <si>
    <t xml:space="preserve">syndicated mortgage risks</t>
  </si>
  <si>
    <t xml:space="preserve">MIC vs syndicated mortgage</t>
  </si>
  <si>
    <t xml:space="preserve">mortgage limited partnership Canada</t>
  </si>
  <si>
    <t xml:space="preserve">4 - monitor only</t>
  </si>
  <si>
    <t xml:space="preserve">mortgage trust investment Canada</t>
  </si>
  <si>
    <t xml:space="preserve">pooled mortgage investment</t>
  </si>
  <si>
    <t xml:space="preserve">senior fund vs junior fund mortgage</t>
  </si>
  <si>
    <t xml:space="preserve">Guide: Exempt market basics</t>
  </si>
  <si>
    <t xml:space="preserve">exempt market dealer mortgage</t>
  </si>
  <si>
    <t xml:space="preserve">05 Position, priority and security</t>
  </si>
  <si>
    <t xml:space="preserve">Guide: First vs second position</t>
  </si>
  <si>
    <t xml:space="preserve">Comparison: first vs second</t>
  </si>
  <si>
    <t xml:space="preserve">first position mortgage investment</t>
  </si>
  <si>
    <t xml:space="preserve">second position mortgage investment</t>
  </si>
  <si>
    <t xml:space="preserve">mortgage priority Canada</t>
  </si>
  <si>
    <t xml:space="preserve">Guide: How mortgages are secured</t>
  </si>
  <si>
    <t xml:space="preserve">mortgage postponement agreement</t>
  </si>
  <si>
    <t xml:space="preserve">registered charge against title</t>
  </si>
  <si>
    <t xml:space="preserve">Tool: Due-diligence checklist</t>
  </si>
  <si>
    <t xml:space="preserve">title insurance mortgage investor</t>
  </si>
  <si>
    <t xml:space="preserve">third mortgage investment risk</t>
  </si>
  <si>
    <t xml:space="preserve">inter alia mortgage</t>
  </si>
  <si>
    <t xml:space="preserve">Glossary</t>
  </si>
  <si>
    <t xml:space="preserve">06 Asset and loan types</t>
  </si>
  <si>
    <t xml:space="preserve">Guide: Residential mortgage investing</t>
  </si>
  <si>
    <t xml:space="preserve">Guide: Commercial mortgage investing</t>
  </si>
  <si>
    <t xml:space="preserve">Comparison: residential vs commercial</t>
  </si>
  <si>
    <t xml:space="preserve">Guide: Construction mortgage investing</t>
  </si>
  <si>
    <t xml:space="preserve">construction loan investment risk</t>
  </si>
  <si>
    <t xml:space="preserve">Guide: Development financing</t>
  </si>
  <si>
    <t xml:space="preserve">Guide: Bridge mortgage investing</t>
  </si>
  <si>
    <t xml:space="preserve">bridge financing investment returns</t>
  </si>
  <si>
    <t xml:space="preserve">land loan investment Canada</t>
  </si>
  <si>
    <t xml:space="preserve">home equity loan investment opportunity</t>
  </si>
  <si>
    <t xml:space="preserve">Guide: Second mortgage investing</t>
  </si>
  <si>
    <t xml:space="preserve">HELOC investment for investors</t>
  </si>
  <si>
    <t xml:space="preserve">Low</t>
  </si>
  <si>
    <t xml:space="preserve">interest only mortgage investment</t>
  </si>
  <si>
    <t xml:space="preserve">multi-residential mortgage investing</t>
  </si>
  <si>
    <t xml:space="preserve">mixed use property mortgage investment</t>
  </si>
  <si>
    <t xml:space="preserve">rural property mortgage investment risk</t>
  </si>
  <si>
    <t xml:space="preserve">Guide: Property and marketability risk</t>
  </si>
  <si>
    <t xml:space="preserve">07 Returns, income and cash flow</t>
  </si>
  <si>
    <t xml:space="preserve">mortgage investment income</t>
  </si>
  <si>
    <t xml:space="preserve">passive income Canada mortgage</t>
  </si>
  <si>
    <t xml:space="preserve">mortgage cash flow investments</t>
  </si>
  <si>
    <t xml:space="preserve">Pillar: Monthly income investing</t>
  </si>
  <si>
    <t xml:space="preserve">monthly distribution investment Canada</t>
  </si>
  <si>
    <t xml:space="preserve">Guide: Where returns come from</t>
  </si>
  <si>
    <t xml:space="preserve">mortgage investment yield explained</t>
  </si>
  <si>
    <t xml:space="preserve">Guide: Gross vs net vs after-tax</t>
  </si>
  <si>
    <t xml:space="preserve">Tool: After-tax yield calculator</t>
  </si>
  <si>
    <t xml:space="preserve">Tool: DRIP compounding calculator</t>
  </si>
  <si>
    <t xml:space="preserve">dividend reinvestment plan MIC</t>
  </si>
  <si>
    <t xml:space="preserve">simple vs compound return mortgage investing</t>
  </si>
  <si>
    <t xml:space="preserve">annualized return mortgage investment</t>
  </si>
  <si>
    <t xml:space="preserve">Guide: Fee stack, itemised</t>
  </si>
  <si>
    <t xml:space="preserve">MIC management fee</t>
  </si>
  <si>
    <t xml:space="preserve">mortgage administration fee investor</t>
  </si>
  <si>
    <t xml:space="preserve">lender fee mortgage investment</t>
  </si>
  <si>
    <t xml:space="preserve">Guide: Terms, renewals and exits</t>
  </si>
  <si>
    <t xml:space="preserve">mortgage renewal investor impact</t>
  </si>
  <si>
    <t xml:space="preserve">early repayment mortgage investment</t>
  </si>
  <si>
    <t xml:space="preserve">mortgage discharge investor</t>
  </si>
  <si>
    <t xml:space="preserve">Guide: Capital preservation and loss</t>
  </si>
  <si>
    <t xml:space="preserve">how are MIC dividends taxed</t>
  </si>
  <si>
    <t xml:space="preserve">08 Tax and registered plans</t>
  </si>
  <si>
    <t xml:space="preserve">Pillar: Tax treatment</t>
  </si>
  <si>
    <t xml:space="preserve">MIC dividends taxed as interest income</t>
  </si>
  <si>
    <t xml:space="preserve">MIC T5 slip</t>
  </si>
  <si>
    <t xml:space="preserve">capital gains dividend MIC</t>
  </si>
  <si>
    <t xml:space="preserve">is a MIC RRSP eligible</t>
  </si>
  <si>
    <t xml:space="preserve">Pillar: Registered plans</t>
  </si>
  <si>
    <t xml:space="preserve">is a MIC TFSA eligible</t>
  </si>
  <si>
    <t xml:space="preserve">can I hold a mortgage in my RRSP</t>
  </si>
  <si>
    <t xml:space="preserve">mortgage investment RRSP TFSA RRIF eligible</t>
  </si>
  <si>
    <t xml:space="preserve">Guide: Registered-plan traps</t>
  </si>
  <si>
    <t xml:space="preserve">significant interest 10 percent rule registered plan</t>
  </si>
  <si>
    <t xml:space="preserve">qualified investment mortgage investment corporation</t>
  </si>
  <si>
    <t xml:space="preserve">FHSA mortgage investment</t>
  </si>
  <si>
    <t xml:space="preserve">Guide: Corporate and holdco investors</t>
  </si>
  <si>
    <t xml:space="preserve">holding company mortgage investment</t>
  </si>
  <si>
    <t xml:space="preserve">Guide: Non-resident investors</t>
  </si>
  <si>
    <t xml:space="preserve">Profile: Retirement income</t>
  </si>
  <si>
    <t xml:space="preserve">09 Risk</t>
  </si>
  <si>
    <t xml:space="preserve">Pillar: Risks</t>
  </si>
  <si>
    <t xml:space="preserve">risks of private mortgage investing</t>
  </si>
  <si>
    <t xml:space="preserve">what are the risks of investing in a MIC</t>
  </si>
  <si>
    <t xml:space="preserve">is mortgage investing safe</t>
  </si>
  <si>
    <t xml:space="preserve">is my principal guaranteed mortgage investment</t>
  </si>
  <si>
    <t xml:space="preserve">can you lose money investing in mortgages</t>
  </si>
  <si>
    <t xml:space="preserve">mortgage default risk investor</t>
  </si>
  <si>
    <t xml:space="preserve">Guide: Default and recovery</t>
  </si>
  <si>
    <t xml:space="preserve">Guide: LTV explained</t>
  </si>
  <si>
    <t xml:space="preserve">what is a good LTV for mortgage investing</t>
  </si>
  <si>
    <t xml:space="preserve">how to calculate loan to value</t>
  </si>
  <si>
    <t xml:space="preserve">combined loan to value second mortgage</t>
  </si>
  <si>
    <t xml:space="preserve">weighted average LTV MIC</t>
  </si>
  <si>
    <t xml:space="preserve">borrower creditworthiness mortgage investment</t>
  </si>
  <si>
    <t xml:space="preserve">Guide: Appraisals for investors</t>
  </si>
  <si>
    <t xml:space="preserve">as is value vs as complete value appraisal</t>
  </si>
  <si>
    <t xml:space="preserve">how liquid is a MIC investment</t>
  </si>
  <si>
    <t xml:space="preserve">MIC redemption restrictions</t>
  </si>
  <si>
    <t xml:space="preserve">lock up period mortgage investment</t>
  </si>
  <si>
    <t xml:space="preserve">early redemption fee mortgage fund</t>
  </si>
  <si>
    <t xml:space="preserve">real estate market risk mortgage investment</t>
  </si>
  <si>
    <t xml:space="preserve">borrower concentration risk MIC</t>
  </si>
  <si>
    <t xml:space="preserve">Guide: Diversification for investors</t>
  </si>
  <si>
    <t xml:space="preserve">geographic concentration risk mortgage fund</t>
  </si>
  <si>
    <t xml:space="preserve">MIC delinquency rate Canada</t>
  </si>
  <si>
    <t xml:space="preserve">loan loss reserve MIC</t>
  </si>
  <si>
    <t xml:space="preserve">expected credit loss mortgage fund IFRS 9</t>
  </si>
  <si>
    <t xml:space="preserve">mortgage investment fraud prevention</t>
  </si>
  <si>
    <t xml:space="preserve">Guide: Fraud red flags</t>
  </si>
  <si>
    <t xml:space="preserve">is leverage used in a MIC</t>
  </si>
  <si>
    <t xml:space="preserve">independent legal advice mortgage investment</t>
  </si>
  <si>
    <t xml:space="preserve">Guide: How to invest step by step</t>
  </si>
  <si>
    <t xml:space="preserve">10 Default, enforcement and recovery</t>
  </si>
  <si>
    <t xml:space="preserve">Guide: Power of sale</t>
  </si>
  <si>
    <t xml:space="preserve">ON, NB, NL, PEI</t>
  </si>
  <si>
    <t xml:space="preserve">what is power of sale</t>
  </si>
  <si>
    <t xml:space="preserve">Pillar: Enforcement by province</t>
  </si>
  <si>
    <t xml:space="preserve">power of sale vs foreclosure Canada</t>
  </si>
  <si>
    <t xml:space="preserve">judicial sale mortgage BC</t>
  </si>
  <si>
    <t xml:space="preserve">British Columbia</t>
  </si>
  <si>
    <t xml:space="preserve">Guide: Enforcement in BC</t>
  </si>
  <si>
    <t xml:space="preserve">BC-specific</t>
  </si>
  <si>
    <t xml:space="preserve">judicial sale Alberta mortgage investor</t>
  </si>
  <si>
    <t xml:space="preserve">Alberta</t>
  </si>
  <si>
    <t xml:space="preserve">Guide: Enforcement in Alberta</t>
  </si>
  <si>
    <t xml:space="preserve">AB-specific</t>
  </si>
  <si>
    <t xml:space="preserve">Quebec</t>
  </si>
  <si>
    <t xml:space="preserve">Guide: Enforcement in Quebec</t>
  </si>
  <si>
    <t xml:space="preserve">QC-specific</t>
  </si>
  <si>
    <t xml:space="preserve">deficiency judgment mortgage Canada</t>
  </si>
  <si>
    <t xml:space="preserve">how long does power of sale take</t>
  </si>
  <si>
    <t xml:space="preserve">ON-specific</t>
  </si>
  <si>
    <t xml:space="preserve">what happens if a borrower stops paying</t>
  </si>
  <si>
    <t xml:space="preserve">mortgage arrears investor meaning</t>
  </si>
  <si>
    <t xml:space="preserve">do foreclosures affect MIC returns</t>
  </si>
  <si>
    <t xml:space="preserve">property insurance mortgage investor</t>
  </si>
  <si>
    <t xml:space="preserve">exit strategy mortgage investment</t>
  </si>
  <si>
    <t xml:space="preserve">11 Regulation and licensing</t>
  </si>
  <si>
    <t xml:space="preserve">Pillar: Regulation by province</t>
  </si>
  <si>
    <t xml:space="preserve">how is the MIC market regulated</t>
  </si>
  <si>
    <t xml:space="preserve">mortgage administrator licence Canada</t>
  </si>
  <si>
    <t xml:space="preserve">Guide: Mortgage administrators</t>
  </si>
  <si>
    <t xml:space="preserve">Guide: Investor eligibility</t>
  </si>
  <si>
    <t xml:space="preserve">am I an accredited investor Canada</t>
  </si>
  <si>
    <t xml:space="preserve">eligible investor definition Canada</t>
  </si>
  <si>
    <t xml:space="preserve">offering memorandum exemption mortgage</t>
  </si>
  <si>
    <t xml:space="preserve">prospectus exemption mortgage investment</t>
  </si>
  <si>
    <t xml:space="preserve">do I need to be accredited to invest in a MIC</t>
  </si>
  <si>
    <t xml:space="preserve">Guide: Regulation in Ontario</t>
  </si>
  <si>
    <t xml:space="preserve">mortgage investor disclosure form Ontario</t>
  </si>
  <si>
    <t xml:space="preserve">Guide: Regulation in BC</t>
  </si>
  <si>
    <t xml:space="preserve">BC-specific; time-critical</t>
  </si>
  <si>
    <t xml:space="preserve">single regulator provinces mortgage securities</t>
  </si>
  <si>
    <t xml:space="preserve">suitability determination mortgage investment</t>
  </si>
  <si>
    <t xml:space="preserve">MIC vs REIT</t>
  </si>
  <si>
    <t xml:space="preserve">12 Comparisons</t>
  </si>
  <si>
    <t xml:space="preserve">Comparison: MIC vs REIT</t>
  </si>
  <si>
    <t xml:space="preserve">Comparison: vs GICs</t>
  </si>
  <si>
    <t xml:space="preserve">MIC vs GIC Canada</t>
  </si>
  <si>
    <t xml:space="preserve">Comparison: vs bonds</t>
  </si>
  <si>
    <t xml:space="preserve">Comparison: vs dividend stocks</t>
  </si>
  <si>
    <t xml:space="preserve">MIC vs private lender</t>
  </si>
  <si>
    <t xml:space="preserve">Comparison: vs rental property</t>
  </si>
  <si>
    <t xml:space="preserve">mortgage fund vs rental income</t>
  </si>
  <si>
    <t xml:space="preserve">mortgage investing vs high interest savings</t>
  </si>
  <si>
    <t xml:space="preserve">MIC vs mutual fund</t>
  </si>
  <si>
    <t xml:space="preserve">MIC vs bond ETF income</t>
  </si>
  <si>
    <t xml:space="preserve">Pillar: Alternative fixed income</t>
  </si>
  <si>
    <t xml:space="preserve">high yield investments Canada</t>
  </si>
  <si>
    <t xml:space="preserve">income producing investments Canada</t>
  </si>
  <si>
    <t xml:space="preserve">best alternative to GIC Canada</t>
  </si>
  <si>
    <t xml:space="preserve">13 Process and mechanics</t>
  </si>
  <si>
    <t xml:space="preserve">mortgage investment process steps</t>
  </si>
  <si>
    <t xml:space="preserve">subscription agreement mortgage investment</t>
  </si>
  <si>
    <t xml:space="preserve">what documents do I need to invest in a MIC</t>
  </si>
  <si>
    <t xml:space="preserve">how do I get paid mortgage investment</t>
  </si>
  <si>
    <t xml:space="preserve">how do I get my money back mortgage investment</t>
  </si>
  <si>
    <t xml:space="preserve">can I choose which mortgage to invest in</t>
  </si>
  <si>
    <t xml:space="preserve">Guide: What to expect as an investor</t>
  </si>
  <si>
    <t xml:space="preserve">who holds the mortgage on my behalf</t>
  </si>
  <si>
    <t xml:space="preserve">can I use my own lawyer mortgage investment</t>
  </si>
  <si>
    <t xml:space="preserve">Guide: Underwriting for investors</t>
  </si>
  <si>
    <t xml:space="preserve">14 Investor profiles</t>
  </si>
  <si>
    <t xml:space="preserve">Guide: Who considers mortgage investing</t>
  </si>
  <si>
    <t xml:space="preserve">who can invest in a MIC</t>
  </si>
  <si>
    <t xml:space="preserve">mortgage investing for retirees Canada</t>
  </si>
  <si>
    <t xml:space="preserve">Profile: Short-duration investors</t>
  </si>
  <si>
    <t xml:space="preserve">long term mortgage investment strategy</t>
  </si>
  <si>
    <t xml:space="preserve">Profile: Long-horizon investors</t>
  </si>
  <si>
    <t xml:space="preserve">diversify portfolio with mortgage investments</t>
  </si>
  <si>
    <t xml:space="preserve">first time mortgage investor Canada</t>
  </si>
  <si>
    <t xml:space="preserve">sophisticated investor mortgage Canada</t>
  </si>
  <si>
    <t xml:space="preserve">15 Geographic — province</t>
  </si>
  <si>
    <t xml:space="preserve">Province hub: Ontario</t>
  </si>
  <si>
    <t xml:space="preserve">Build — priority province page</t>
  </si>
  <si>
    <t xml:space="preserve">private mortgage investing Ontario</t>
  </si>
  <si>
    <t xml:space="preserve">mortgage investment corporation Ontario</t>
  </si>
  <si>
    <t xml:space="preserve">mortgage investment opportunities Ontario</t>
  </si>
  <si>
    <t xml:space="preserve">invest in mortgages Ontario</t>
  </si>
  <si>
    <t xml:space="preserve">Province hub: BC</t>
  </si>
  <si>
    <t xml:space="preserve">private lending BC</t>
  </si>
  <si>
    <t xml:space="preserve">mortgage investment corporation BC</t>
  </si>
  <si>
    <t xml:space="preserve">invest in mortgages BC</t>
  </si>
  <si>
    <t xml:space="preserve">Province hub: Alberta</t>
  </si>
  <si>
    <t xml:space="preserve">Build — secondary province page</t>
  </si>
  <si>
    <t xml:space="preserve">invest in mortgages Alberta</t>
  </si>
  <si>
    <t xml:space="preserve">mortgage investment corporation Alberta</t>
  </si>
  <si>
    <t xml:space="preserve">private mortgage investing BC and Alberta</t>
  </si>
  <si>
    <t xml:space="preserve">BC + Alberta</t>
  </si>
  <si>
    <t xml:space="preserve">Province hub: BC + Alberta</t>
  </si>
  <si>
    <t xml:space="preserve">Province page: Quebec</t>
  </si>
  <si>
    <t xml:space="preserve">One thin page at most</t>
  </si>
  <si>
    <t xml:space="preserve">mortgage investing Manitoba</t>
  </si>
  <si>
    <t xml:space="preserve">Manitoba</t>
  </si>
  <si>
    <t xml:space="preserve">Roll into a Prairie/other-provinces page</t>
  </si>
  <si>
    <t xml:space="preserve">mortgage investing Saskatchewan</t>
  </si>
  <si>
    <t xml:space="preserve">Saskatchewan</t>
  </si>
  <si>
    <t xml:space="preserve">mortgage investing Nova Scotia</t>
  </si>
  <si>
    <t xml:space="preserve">Nova Scotia</t>
  </si>
  <si>
    <t xml:space="preserve">Roll into an Atlantic/other-provinces page</t>
  </si>
  <si>
    <t xml:space="preserve">Do NOT build a dedicated page</t>
  </si>
  <si>
    <t xml:space="preserve">mortgage investing New Brunswick</t>
  </si>
  <si>
    <t xml:space="preserve">New Brunswick</t>
  </si>
  <si>
    <t xml:space="preserve">mortgage investing Prince Edward Island</t>
  </si>
  <si>
    <t xml:space="preserve">PEI</t>
  </si>
  <si>
    <t xml:space="preserve">mortgage investing Newfoundland and Labrador</t>
  </si>
  <si>
    <t xml:space="preserve">NL</t>
  </si>
  <si>
    <t xml:space="preserve">mortgage investing Toronto</t>
  </si>
  <si>
    <t xml:space="preserve">16 Geographic — region and city</t>
  </si>
  <si>
    <t xml:space="preserve">GTA</t>
  </si>
  <si>
    <t xml:space="preserve">Region page: GTA (under Ontario)</t>
  </si>
  <si>
    <t xml:space="preserve">Build as a region page, not a standalone city page</t>
  </si>
  <si>
    <t xml:space="preserve">Build</t>
  </si>
  <si>
    <t xml:space="preserve">private mortgage investment Greater Toronto Area</t>
  </si>
  <si>
    <t xml:space="preserve">Ottawa / NCR</t>
  </si>
  <si>
    <t xml:space="preserve">Region section under Ontario</t>
  </si>
  <si>
    <t xml:space="preserve">One page, as a section of Ontario</t>
  </si>
  <si>
    <t xml:space="preserve">mortgage investing Vancouver</t>
  </si>
  <si>
    <t xml:space="preserve">Vancouver</t>
  </si>
  <si>
    <t xml:space="preserve">Fold into BC hub</t>
  </si>
  <si>
    <t xml:space="preserve">Fold into BC</t>
  </si>
  <si>
    <t xml:space="preserve">mortgage investing Calgary</t>
  </si>
  <si>
    <t xml:space="preserve">Calgary</t>
  </si>
  <si>
    <t xml:space="preserve">Fold into Alberta hub</t>
  </si>
  <si>
    <t xml:space="preserve">Fold into Alberta</t>
  </si>
  <si>
    <t xml:space="preserve">mortgage investing Edmonton</t>
  </si>
  <si>
    <t xml:space="preserve">Edmonton</t>
  </si>
  <si>
    <t xml:space="preserve">mortgage investing Victoria BC</t>
  </si>
  <si>
    <t xml:space="preserve">Victoria</t>
  </si>
  <si>
    <t xml:space="preserve">mortgage investing Montreal</t>
  </si>
  <si>
    <t xml:space="preserve">Montreal</t>
  </si>
  <si>
    <t xml:space="preserve">Fold into Quebec page</t>
  </si>
  <si>
    <t xml:space="preserve">Fold into Quebec</t>
  </si>
  <si>
    <t xml:space="preserve">mortgage investing Halifax</t>
  </si>
  <si>
    <t xml:space="preserve">Halifax</t>
  </si>
  <si>
    <t xml:space="preserve">private mortgage lender Toronto</t>
  </si>
  <si>
    <t xml:space="preserve">Do NOT target for investors</t>
  </si>
  <si>
    <t xml:space="preserve">private mortgage lender Hamilton</t>
  </si>
  <si>
    <t xml:space="preserve">Hamilton</t>
  </si>
  <si>
    <t xml:space="preserve">private mortgage lender London Ontario</t>
  </si>
  <si>
    <t xml:space="preserve">London ON</t>
  </si>
  <si>
    <t xml:space="preserve">private mortgage lender Kitchener Waterloo</t>
  </si>
  <si>
    <t xml:space="preserve">KW</t>
  </si>
  <si>
    <t xml:space="preserve">mortgage investing Prairies Canada</t>
  </si>
  <si>
    <t xml:space="preserve">Prairies</t>
  </si>
  <si>
    <t xml:space="preserve">Other-provinces page</t>
  </si>
  <si>
    <t xml:space="preserve">mortgage investing Atlantic Canada</t>
  </si>
  <si>
    <t xml:space="preserve">Atlantic</t>
  </si>
  <si>
    <t xml:space="preserve">17 Conversational / AI-search</t>
  </si>
  <si>
    <t xml:space="preserve">how do I become a private mortgage lender in Canada</t>
  </si>
  <si>
    <t xml:space="preserve">how do I get my money out of a MIC</t>
  </si>
  <si>
    <t xml:space="preserve">how do I know if a MIC is well run</t>
  </si>
  <si>
    <t xml:space="preserve">how do I check that my mortgage investment actually closed</t>
  </si>
  <si>
    <t xml:space="preserve">how do I monitor my mortgage investment</t>
  </si>
  <si>
    <t xml:space="preserve">how do I transfer my RRSP to a mortgage investment</t>
  </si>
  <si>
    <t xml:space="preserve">what is a private mortgage investment</t>
  </si>
  <si>
    <t xml:space="preserve">what is loan to value in mortgage investing</t>
  </si>
  <si>
    <t xml:space="preserve">what is an accredited investor in Canada</t>
  </si>
  <si>
    <t xml:space="preserve">what is a DRIP in a MIC</t>
  </si>
  <si>
    <t xml:space="preserve">what is the difference between a MIC and an individual mortgage investment</t>
  </si>
  <si>
    <t xml:space="preserve">what is a mortgage administrator and why does it matter to me</t>
  </si>
  <si>
    <t xml:space="preserve">what is the minimum investment for a MIC</t>
  </si>
  <si>
    <t xml:space="preserve">is my money safe in a mortgage investment corporation</t>
  </si>
  <si>
    <t xml:space="preserve">is a MIC the same as a GIC</t>
  </si>
  <si>
    <t xml:space="preserve">is mortgage investing riskier than a bond fund</t>
  </si>
  <si>
    <t xml:space="preserve">is financing real estate as secure as owning it</t>
  </si>
  <si>
    <t xml:space="preserve">is a second mortgage investment too risky</t>
  </si>
  <si>
    <t xml:space="preserve">what are the risks of investing in a mortgage investment corporation</t>
  </si>
  <si>
    <t xml:space="preserve">what are the risks of private mortgage investing</t>
  </si>
  <si>
    <t xml:space="preserve">what happens to my money if the MIC fails</t>
  </si>
  <si>
    <t xml:space="preserve">what is liquidity mismatch in a mortgage fund</t>
  </si>
  <si>
    <t xml:space="preserve">how much can I earn investing in mortgages</t>
  </si>
  <si>
    <t xml:space="preserve">how much money do I need to invest in mortgages</t>
  </si>
  <si>
    <t xml:space="preserve">what happens if there are foreclosures in the portfolio</t>
  </si>
  <si>
    <t xml:space="preserve">what happens if a MIC suspends redemptions</t>
  </si>
  <si>
    <t xml:space="preserve">which is better mortgage investing or a GIC</t>
  </si>
  <si>
    <t xml:space="preserve">which is better a first or second mortgage investment</t>
  </si>
  <si>
    <t xml:space="preserve">how does a MIC decide which mortgages to fund</t>
  </si>
  <si>
    <t xml:space="preserve">can I invest in a MIC with my TFSA</t>
  </si>
  <si>
    <t xml:space="preserve">can I sell my MIC shares early</t>
  </si>
  <si>
    <t xml:space="preserve">can I invest in mortgages with $10,000</t>
  </si>
  <si>
    <t xml:space="preserve">what should I look for when choosing a MIC</t>
  </si>
  <si>
    <t xml:space="preserve">what should be in a mortgage investment offering memorandum</t>
  </si>
  <si>
    <t xml:space="preserve">what documents should I receive as a mortgage investor</t>
  </si>
  <si>
    <t xml:space="preserve">what oversight is there on a MIC</t>
  </si>
  <si>
    <t xml:space="preserve">Article</t>
  </si>
  <si>
    <t xml:space="preserve">Words (article)</t>
  </si>
  <si>
    <t xml:space="preserve">Target words</t>
  </si>
  <si>
    <t xml:space="preserve">Overall</t>
  </si>
  <si>
    <t xml:space="preserve">Front matter</t>
  </si>
  <si>
    <t xml:space="preserve">K1 Answer in first 120 words</t>
  </si>
  <si>
    <t xml:space="preserve">K2 One H1, no heading jumps</t>
  </si>
  <si>
    <t xml:space="preserve">K7 Prohibited-language scan</t>
  </si>
  <si>
    <t xml:space="preserve">K8 Disclosures in body</t>
  </si>
  <si>
    <t xml:space="preserve">K11 Internal links</t>
  </si>
  <si>
    <t xml:space="preserve">Allowed sources only</t>
  </si>
  <si>
    <t xml:space="preserve">J2 Seven axes in summary</t>
  </si>
  <si>
    <t xml:space="preserve">E7 FAQ</t>
  </si>
  <si>
    <t xml:space="preserve">E9 Key takeaways</t>
  </si>
  <si>
    <t xml:space="preserve">Length vs target</t>
  </si>
  <si>
    <t xml:space="preserve">Checks passed</t>
  </si>
  <si>
    <t xml:space="preserve">Pass</t>
  </si>
  <si>
    <t xml:space="preserve">Manual checks (Tab 3, section K)</t>
  </si>
  <si>
    <t xml:space="preserve">Ref</t>
  </si>
  <si>
    <t xml:space="preserve">Check</t>
  </si>
  <si>
    <t xml:space="preserve">Status</t>
  </si>
  <si>
    <t xml:space="preserve">Detail</t>
  </si>
  <si>
    <t xml:space="preserve">K4</t>
  </si>
  <si>
    <t xml:space="preserve">Regulatory claims verified at source</t>
  </si>
  <si>
    <t xml:space="preserve">Signed off</t>
  </si>
  <si>
    <t xml:space="preserve">Signed off — legal review completed 3 October 2026 (confirmed by Lendmax Capital)</t>
  </si>
  <si>
    <t xml:space="preserve">K17</t>
  </si>
  <si>
    <t xml:space="preserve">Tax / regulatory sign-off by qualified reviewer</t>
  </si>
  <si>
    <t xml:space="preserve">K10</t>
  </si>
  <si>
    <t xml:space="preserve">Calculations recomputed by a second person</t>
  </si>
  <si>
    <t xml:space="preserve">Pending</t>
  </si>
  <si>
    <t xml:space="preserve">Every worked example was recomputed by its writer with a script; a second person's check is still to be recorded.</t>
  </si>
  <si>
    <t xml:space="preserve">K12</t>
  </si>
  <si>
    <t xml:space="preserve">External links resolve (live check)</t>
  </si>
  <si>
    <t xml:space="preserve">Mostly passed</t>
  </si>
  <si>
    <t xml:space="preserve">Checked 3 October 2026, from the lmcmic.ca server, after launch — 21 of 25 external links resolve; not confirmed from the server: lautorite.qc.ca, www.canada.ca, www.fsrao.ca</t>
  </si>
  <si>
    <t xml:space="preserve">K13</t>
  </si>
  <si>
    <t xml:space="preserve">Featured image to Tab 2 spec</t>
  </si>
  <si>
    <t xml:space="preserve">Partly met</t>
  </si>
  <si>
    <t xml:space="preserve">lendmaxcapital.ca publishes one photograph and four partner logos; they are used on the core pages. Articles use generated title cards until more photography is supplied.</t>
  </si>
  <si>
    <t xml:space="preserve">From page</t>
  </si>
  <si>
    <t xml:space="preserve">To page</t>
  </si>
  <si>
    <t xml:space="preserve">Anchor text</t>
  </si>
  <si>
    <t xml:space="preserve">Target exists</t>
  </si>
  <si>
    <t xml:space="preserve">How a MIC works</t>
  </si>
  <si>
    <t xml:space="preserve">Model compounding with the DRIP calculator</t>
  </si>
  <si>
    <t xml:space="preserve">lending directly</t>
  </si>
  <si>
    <t xml:space="preserve">RRSP, RRIF or TFSA</t>
  </si>
  <si>
    <t xml:space="preserve">privacy notice</t>
  </si>
  <si>
    <t xml:space="preserve">Explore all guides</t>
  </si>
  <si>
    <t xml:space="preserve">Types of mortgage investmentWhat Is a Mortgage Investment Corporation (MIC)?How section 130.1 of the Income Tax Act makes a MIC a flow-through for mortgage income.</t>
  </si>
  <si>
    <t xml:space="preserve">Regulation, tax and eligibilityHolding Mortgage Investments in an RRSP, TFSA or RRIFPlan eligibility, the self-directed trustee, and the 10% prohibited-investment trap.</t>
  </si>
  <si>
    <t xml:space="preserve">Risk, security and due diligenceThe Risks of Mortgage Investing in CanadaDefault, value declines, illiquidity, interest rates and structural risk, stated plainly.</t>
  </si>
  <si>
    <t xml:space="preserve">Understanding mortgage investingHow Do Mortgage Investors Actually Make Money?Interest, lender fees and renewals — and what each is reduced by before it reaches you.</t>
  </si>
  <si>
    <t xml:space="preserve">Comparisons with other investmentsMIC vs REIT in Canada: Debt Income or Equity OwnershipDebt income or equity ownership, compared fairly in both directions.</t>
  </si>
  <si>
    <t xml:space="preserve">Risk, security and due diligenceThe Mortgage Investor's Due Diligence ChecklistThe documents and figures to check before you commit capital.</t>
  </si>
  <si>
    <t xml:space="preserve">Read the full explanation</t>
  </si>
  <si>
    <t xml:space="preserve">Registered plans explained</t>
  </si>
  <si>
    <t xml:space="preserve">Tax treatment</t>
  </si>
  <si>
    <t xml:space="preserve">Why nothing here is guaranteed</t>
  </si>
  <si>
    <t xml:space="preserve">Liquidity and redemption</t>
  </si>
  <si>
    <t xml:space="preserve">Request the offering memorandum</t>
  </si>
  <si>
    <t xml:space="preserve">Corporate and holdco investors</t>
  </si>
  <si>
    <t xml:space="preserve">Liquidity explained</t>
  </si>
  <si>
    <t xml:space="preserve">Minimums explained</t>
  </si>
  <si>
    <t xml:space="preserve">mortgage investment glossary</t>
  </si>
  <si>
    <t xml:space="preserve">what mortgage investing is</t>
  </si>
  <si>
    <t xml:space="preserve">what a mortgage investment corporation is</t>
  </si>
  <si>
    <t xml:space="preserve">the risks of mortgage investing</t>
  </si>
  <si>
    <t xml:space="preserve">how mortgage investment income is taxed</t>
  </si>
  <si>
    <t xml:space="preserve">liquidity and redemption</t>
  </si>
  <si>
    <t xml:space="preserve">how mortgage investing is regulated in Canada</t>
  </si>
  <si>
    <t xml:space="preserve">mortgage investor’s due diligence checklist</t>
  </si>
  <si>
    <t xml:space="preserve">all mortgage investing guides</t>
  </si>
  <si>
    <t xml:space="preserve">mortgage investing FAQ</t>
  </si>
  <si>
    <t xml:space="preserve">beginner’s guide to mortgage investing</t>
  </si>
  <si>
    <t xml:space="preserve">Read more</t>
  </si>
  <si>
    <t xml:space="preserve">Start with step 1</t>
  </si>
  <si>
    <t xml:space="preserve">offering memorandum</t>
  </si>
  <si>
    <t xml:space="preserve">mortgage investor’s due-diligence checklist</t>
  </si>
  <si>
    <t xml:space="preserve">who counts as an accredited investor</t>
  </si>
  <si>
    <t xml:space="preserve">holding mortgage investments in an RRSP, TFSA or RRIF</t>
  </si>
  <si>
    <t xml:space="preserve">What to expect as a mortgage investor</t>
  </si>
  <si>
    <t xml:space="preserve">How to evaluate a MIC</t>
  </si>
  <si>
    <t xml:space="preserve">glossary</t>
  </si>
  <si>
    <t xml:space="preserve">After-tax yield calculatorGross to net to after-tax, by account type.</t>
  </si>
  <si>
    <t xml:space="preserve">DRIP compounding calculatorReinvested vs paid-out distributions over time.</t>
  </si>
  <si>
    <t xml:space="preserve">Due-diligence checklistWhat to check, and in which document.</t>
  </si>
  <si>
    <t xml:space="preserve">How to evaluate a MICQuestions to ask before you invest.</t>
  </si>
  <si>
    <t xml:space="preserve">Pillar page What Is Mortgage Investing in Canada? Mortgage investing is lending money against real estate in return for interest: the investor, directly or through a pooled vehicle, funds a loan secured by a mortgage registered on the borrower's property. In Canada, ind</t>
  </si>
  <si>
    <t xml:space="preserve">Pillar page How Does Private Mortgage Investing Work? Private mortgage investing is lending to borrowers outside the banks, with each loan secured by a mortgage registered on Canadian real estate. A licensed mortgage broker usually arranges the loan; the lender, or a mortga</t>
  </si>
  <si>
    <t xml:space="preserve">Guide How Do Mortgage Investors Actually Make Money? Mortgage investors make money mainly from the interest borrowers pay on loans secured by real estate, plus lender fees charged when loans are funded or renewed. What reaches the investor is that gross income less the cos</t>
  </si>
  <si>
    <t xml:space="preserve">Explainer How Is Interest Paid to a Private Mortgage Investor? Interest is paid to a mortgage investor in two steps. The borrower pays the mortgage administrator, usually monthly on an interest-only loan; the administrator holds the money in trust and then pays the investor. A direc</t>
  </si>
  <si>
    <t xml:space="preserve">Pillar page How Are Canadian Mortgages Secured Against Real Estate? A mortgage investment is secured by a mortgage registered against the borrower's property in the provincial land register (a Charge/Mortgage of Land in Ontario, a hypothec in Québec). Registration gives the lender a clai</t>
  </si>
  <si>
    <t xml:space="preserve">Guide A Beginner's Guide to Mortgage Investing in Canada Mortgage investing for beginners starts with one idea: the investor is a lender, earning interest from borrowers on loans secured by Canadian real estate, and bearing the risk that a borrower defaults and the property se</t>
  </si>
  <si>
    <t xml:space="preserve">Guide First Mortgage Investments Explained A first mortgage investment is a loan secured by the mortgage that ranks first on the property's title, so it is repaid from sale proceeds before any other mortgage, after the costs of sale and any claims provincial law</t>
  </si>
  <si>
    <t xml:space="preserve">Guide Second Mortgage Investments: The Yield and the Trade-Off A second mortgage investment is a loan secured by a mortgage that ranks behind an existing first mortgage on the same property. It typically pays a higher rate because, after a default and sale, it is repaid only once se</t>
  </si>
  <si>
    <t xml:space="preserve">Guide Residential Mortgage Investing in Canada Residential mortgage investing is lending money, directly or through a pooled vehicle such as a mortgage investment corporation (MIC), against Canadian homes: houses, condominium units and small buildings of up to four u</t>
  </si>
  <si>
    <t xml:space="preserve">Guide Commercial Mortgage Investing in Canada Commercial mortgage investing in Canada is lending against property that earns income or houses a business: apartment buildings of five or more units, retail, office, industrial and mixed-use property. The loan is usuall</t>
  </si>
  <si>
    <t xml:space="preserve">Pillar page Construction Mortgage Investments: Draws, Holdbacks and Cost to Complete Construction mortgage investments are loans advanced in stages, called draws, to pay for building a project, secured by the land and the improvements as they are built. Each draw should be released only after an independ</t>
  </si>
  <si>
    <t xml:space="preserve">Guide Development Financing as an Investment: Land, Servicing and Entitlement Risk Development financing investment in Canada means lending to a developer before construction starts: to buy land, obtain municipal approvals and install services such as roads, water and sewers. The security is usually la</t>
  </si>
  <si>
    <t xml:space="preserve">Guide Bridge Mortgage Investments: Short Terms, Fast Turnover Bridge mortgage investing is lending for a short period, usually weeks or months, to cover a timing gap: a buyer who has bought a new home before the old one sells, or an owner waiting for a refinance to close. The loan</t>
  </si>
  <si>
    <t xml:space="preserve">Pillar page What Is a Mortgage Investment Corporation (MIC)? A mortgage investment corporation (MIC) is a Canadian corporation whose only undertaking is investing its funds, in practice mostly in mortgages, and which meets the nine conditions in subsection 130.1(6) of the Income T</t>
  </si>
  <si>
    <t xml:space="preserve">Explainer The Nine Conditions a MIC Must Meet to Keep Its Tax Status MIC qualification requirements in Canada are the nine conditions in subsection 130.1(6) of the Income Tax Act. Throughout each taxation year a MIC must be a Canadian corporation that only invests its funds, holds no fore</t>
  </si>
  <si>
    <t xml:space="preserve">Explainer MIC Share Structure: Preferred, Common and Multiple Classes MIC shares are the equity a mortgage investment corporation issues to raise the money it lends. Many MICs have common shares, often held by the founders or manager, and one or more classes of preferred or non-voting shar</t>
  </si>
  <si>
    <t xml:space="preserve">Explainer MIC or MIE? Why the Industry and the Regulators Use Different Words A mortgage investment entity (MIE) is a broad, descriptive term for a vehicle that pools investors' money to lend on mortgages, whether it is a corporation, a trust or a limited partnership. A mortgage investment corpora</t>
  </si>
  <si>
    <t xml:space="preserve">Guide Mortgage Funds in Canada: How They Differ From a MIC Mortgage funds in Canada are pooled vehicles that collect money from many investors, lend it on mortgages and pay out the income. A private mortgage income fund is usually organised as a trust, a limited partnership or a</t>
  </si>
  <si>
    <t xml:space="preserve">Guide Direct Mortgage Investing: Holding the Charge in Your Own Name Direct mortgage investing is lending your own money on one specific mortgage, with the charge registered on title in your name or held for you by a trustee. You choose the borrower, property, loan-to-value, position and</t>
  </si>
  <si>
    <t xml:space="preserve">Guide Fractional and Syndicated Mortgage Investments Fractional mortgage investing is buying a share of one specific mortgage alongside other investors, instead of funding the whole loan or buying into a pool. A mortgage with two or more lenders is called a syndicated mort</t>
  </si>
  <si>
    <t xml:space="preserve">Comparison Comparing Mortgage Investment Structures: MIC, Fund, LP, Trust and Syndicated Mortgage investment structures in Canada are the legal wrappers through which investors hold mortgage loans: a mortgage investment corporation (MIC), a mortgage trust or fund, a limited partnership (LP), or a direct or s</t>
  </si>
  <si>
    <t xml:space="preserve">Pillar page Where Do Mortgage Investment Returns Actually Come From? Mortgage investment returns are the income an investor earns from lending money secured by real property. They come from what borrowers pay — mainly interest, plus lender, renewal and other fees — less what it costs to r</t>
  </si>
  <si>
    <t xml:space="preserve">Pillar page Gross Yield, Net Yield and After-Tax Yield: The Three Numbers That Matter Net yield vs gross yield on a mortgage investment is the gap between what the loans earn and what reaches the investor. Gross yield is what borrowers pay; net yield is what remains after fees, expenses, idle cash and loa</t>
  </si>
  <si>
    <t xml:space="preserve">Calculator / tool After-Tax Yield Calculator for Canadian Mortgage Investments The after-tax return on a mortgage investment in Canada is the income left after fees and personal income tax, as a percentage of the amount invested. This calculator subtracts fees from gross yield to get net yield, the</t>
  </si>
  <si>
    <t xml:space="preserve">Explainer The Real Fee Stack in a Mortgage Investment, Itemised Mortgage investment fees are the charges that sit between what borrowers pay and what an investor keeps. In Canada they arise at three levels: the loan (lender, renewal and other fees paid by borrowers, which may go to t</t>
  </si>
  <si>
    <t xml:space="preserve">Pillar page Monthly Income From Mortgage Investments: How the Cash Flow Works Monthly income investments in Canada are holdings that pay cash on a regular schedule, and mortgage investments are one kind: borrowers pay interest, usually monthly, and that cash flows to investors. A direct mortgage i</t>
  </si>
  <si>
    <t xml:space="preserve">Calculator / tool Compounding a Mortgage Investment: How DRIPs Change the Maths Mortgage investment compound interest is the growth that comes from reinvesting distributions, so that later distributions are paid on a larger balance. In a MIC this is usually done through a dividend reinvestment plan</t>
  </si>
  <si>
    <t xml:space="preserve">Guide Terms, Renewals, Early Repayment and Discharge Mortgage investment term length is the period until a loan falls due for repayment in full; private mortgages usually have short terms, measured in months rather than years. At maturity the borrower repays, the lender ag</t>
  </si>
  <si>
    <t xml:space="preserve">Explainer Reinvestment Risk: The Cost of Money Coming Back Too Soon Reinvestment risk in mortgage investing is the risk that capital comes back to the lender (at maturity, through early repayment, or because a borrower does not renew) at a moment when it cannot be lent again at the same</t>
  </si>
  <si>
    <t xml:space="preserve">Explainer Capital Preservation and Loss of Principal: Both Sides Stated Plainly Capital preservation in a mortgage investment means the features designed to get the lender's principal back: a loan-to-value cushion, the security position, underwriting and the right to enforce against the property. No</t>
  </si>
  <si>
    <t xml:space="preserve">Comparison MIC vs REIT in Canada: Debt Income or Equity Ownership A mortgage investment corporation (MIC) lends money secured by real estate and distributes the interest; a real estate investment trust (REIT) owns income-producing property and distributes rental income. In the MIC vs R</t>
  </si>
  <si>
    <t xml:space="preserve">Comparison Mortgage Investing vs GICs: Yield, Insurance and What You Give Up Mortgage investing vs a GIC is a trade of certainty for potential yield. A GIC is a deposit: the issuing institution owes a fixed rate for a fixed term, and CDIC insures eligible deposits at member institutions up to $10</t>
  </si>
  <si>
    <t xml:space="preserve">Comparison Mortgage Investing vs Bonds: Two Kinds of Fixed Income Mortgage investing vs bonds compares two kinds of lending. A bond is a tradable debt security issued by a government or company, priced daily and sensitive mainly to interest rates. A private mortgage investment is a sho</t>
  </si>
  <si>
    <t xml:space="preserve">Comparison Mortgage Investing vs Dividend Stocks for Income Mortgage investing vs dividend stocks is a choice between debt income and equity income. A mortgage investment pays interest from borrowers, secured by property, with no share in growth; MIC dividends are taxed as intere</t>
  </si>
  <si>
    <t xml:space="preserve">Comparison MIC vs Investing in Mortgages Directly MIC vs direct mortgage investing is a choice between owning shares of a pooled lender and holding a mortgage in your own name. A MIC investor gets diversification and professional servicing but cannot choose individual l</t>
  </si>
  <si>
    <t xml:space="preserve">Comparison Mortgage Investing vs Owning a Rental Property Mortgage investing vs owning a rental property is a choice between being the lender and being the owner. A rental owner keeps all of the property's appreciation, magnified by leverage, and does the landlord's work, but a</t>
  </si>
  <si>
    <t xml:space="preserve">Comparison First vs Second Mortgage Investments: What Position Really Costs First mortgage vs second mortgage investing comes down to who is paid first. A first-position lender is repaid from a sale before any later lender; a second-position lender is paid only from what is left, so its risk dep</t>
  </si>
  <si>
    <t xml:space="preserve">Comparison Residential vs Commercial Mortgage Investing Residential mortgage investing lends against homes of one to four units, where value usually comes from comparable sales and repayment from the borrower's income. Commercial mortgage investing lends against income-produc</t>
  </si>
  <si>
    <t xml:space="preserve">Comparison Fixed vs Variable Rate Mortgage Investments A fixed-rate mortgage investment earns the same contractual rate for the whole term; a variable-rate one earns a rate that moves with a benchmark, such as a lender's prime rate, plus a set spread. In fixed rate vs variab</t>
  </si>
  <si>
    <t xml:space="preserve">Pillar page Alternative Fixed Income in Canada: Where Mortgage Investments Sit Alternative fixed income investments in Canada are income-producing holdings outside deposits, GICs and publicly traded investment-grade bonds — mainly privately offered credit such as mortgage investment corporations, m</t>
  </si>
  <si>
    <t xml:space="preserve">Pillar page The Risks of Mortgage Investing in Canada Mortgage investment risks are the ways an investor in Canadian mortgages — directly, through a syndicate or through a mortgage investment corporation (MIC) — can receive less income than expected or lose principal. The m</t>
  </si>
  <si>
    <t xml:space="preserve">Explainer Are Mortgage Investments Guaranteed? No — Here Is What That Means No — MIC investments are not guaranteed. A MIC investment is a purchase of shares in a mortgage investment corporation, a company that lends pooled investor money on mortgages, and neither the MIC, its manager, its deale</t>
  </si>
  <si>
    <t xml:space="preserve">Pillar page Loan-to-Value for Mortgage Investors: How to Read It and Where It Misleads Loan-to-value (LTV) is a mortgage's balance divided by the value of the property securing it, shown as a percentage. In mortgage investing, it measures the equity cushion that must be used up before the lender's principa</t>
  </si>
  <si>
    <t xml:space="preserve">Pillar page What Happens When a Borrower Defaults on Your Mortgage Investment A borrower default on a mortgage investment happens when the borrower breaks the mortgage's terms — most often by missing payments or failing to repay at maturity. The lender then demands payment, may negotiate a workout</t>
  </si>
  <si>
    <t xml:space="preserve">Pillar page Mortgage Enforcement Across Canada: Power of Sale, Judicial Sale and Quebec's Recourses The foreclosure process for mortgage investors is the legal route a lender follows to recover a defaulted loan from the property, and in Canada it depends on the province. Ontario, New Brunswick, Newfoundland and Labrado</t>
  </si>
  <si>
    <t xml:space="preserve">Guide · Ontario Power of Sale: What It Means for a Mortgage Investor Power of sale is a lender's right, under the mortgage and provincial statute, to sell a property itself after the borrower defaults and the required notices have run, without a court ordering the sale. For a mortgage inv</t>
  </si>
  <si>
    <t xml:space="preserve">Explainer What Enforcement Actually Costs a Mortgage Investor The cost of enforcing a mortgage investment is everything spent between a borrower's default and the moment sale proceeds reach the lender: legal and court fees, unpaid interest, property taxes, insurance, upkeep, sale c</t>
  </si>
  <si>
    <t xml:space="preserve">Pillar page Liquidity and Redemption: Getting Your Money Out Liquidity risk in a mortgage investment is the risk that an investor cannot turn the investment back into cash when they want to, at the value they expect. MIC shares have no public market: money comes back by redemption</t>
  </si>
  <si>
    <t xml:space="preserve">Guide Property Value and Marketability Risk Property marketability risk is the risk that the property securing a mortgage cannot be sold quickly enough, or for enough, to repay the loan after a default. It has two parts: value risk, where the market price falls be</t>
  </si>
  <si>
    <t xml:space="preserve">Explainer Appraisals for Mortgage Investors: As-Is vs As-Complete A property appraisal in a mortgage investment is a qualified appraiser's opinion of the property's market value at a stated date, used to size the loan and calculate its loan-to-value. It protects the investor only as fa</t>
  </si>
  <si>
    <t xml:space="preserve">Guide Concentration and Diversification in a Mortgage Portfolio Mortgage investment diversification means spreading money across many loans so that no single borrower, property, region, property type or maturity date can do outsized damage. In a MIC it is measured by concentration: t</t>
  </si>
  <si>
    <t xml:space="preserve">Checklist The Mortgage Investor's Due Diligence Checklist Mortgage investor due diligence is the set of checks an investor makes before committing money to a mortgage or a mortgage fund: who the borrower is and how they will repay, what the property is worth and how saleable it</t>
  </si>
  <si>
    <t xml:space="preserve">Checklist How to Evaluate a MIC Before You Invest Knowing how to choose a MIC comes down to four things to evaluate before investing: the people and their track record, the loan portfolio and lending policies, the returns, fees and leverage, and the terms for getting mo</t>
  </si>
  <si>
    <t xml:space="preserve">Guide Reading a MIC's Financial Statements and Offering Memorandum How to read a MIC financial statement: start with the auditor's report and the notes rather than the totals. The notes show the mortgage portfolio by position, region and maturity, loans in arrears, the allowance for exp</t>
  </si>
  <si>
    <t xml:space="preserve">Guide Mortgage Investment Red Flags and Fraud Prevention Mortgage investment red flags are warning signs that an investment carries more risk than presented, or may not be legitimate. The ones that recur in Canadian regulator warnings include promises that returns cannot fall</t>
  </si>
  <si>
    <t xml:space="preserve">Checklist Title, Insurance and the Legal File a Mortgage Investor Should See A title search for a mortgage investment is the land-registry search that shows who owns the property, which mortgages and other claims are registered against it, and in what order. Read together with the registered mort</t>
  </si>
  <si>
    <t xml:space="preserve">Explainer Interest Rate Risk for Mortgage Investors Interest rate risk in mortgage investing is the chance that changes in market interest rates reduce an investor's income or the value of their capital. Short-term private mortgages feel it less through price changes than</t>
  </si>
  <si>
    <t xml:space="preserve">Pillar page How Mortgage Investing Is Regulated in Canada Mortgage investment regulations in Canada come in layers, and almost all of them are provincial. Provincial regulators license mortgage brokers and, in some provinces, mortgage administrators; provincial securities regul</t>
  </si>
  <si>
    <t xml:space="preserve">Data / research Mortgage Investment Rules by Province: A Verified Comparison Mortgage broker licensing in Canada is set province by province. FSRA licenses mortgage brokerages, agents and mortgage administrators in Ontario; BCFSA regulates British Columbia, where mortgage administration is schedu</t>
  </si>
  <si>
    <t xml:space="preserve">Guide Mortgage Administrators: Who Services Your Investment and Why It Matters A mortgage administrator is the business that services a mortgage on behalf of its lenders or investors. It collects the borrower's payments, holds them in trust, pays investors their share, tracks property taxes and ins</t>
  </si>
  <si>
    <t xml:space="preserve">Guide Are You an Accredited Investor? Canadian Eligibility Explained An accredited investor in Canada is an individual or entity that meets the tests in National Instrument 45-106 for buying securities without a prospectus. For individuals, in summary: financial assets over $1,000,000 (al</t>
  </si>
  <si>
    <t xml:space="preserve">Guide The Exempt Market and Offering Memorandums An exempt market mortgage investment is a security, such as a MIC share or an interest in a syndicated mortgage, sold without a prospectus under an exemption in National Instrument 45-106. Most are sold under the offerin</t>
  </si>
  <si>
    <t xml:space="preserve">Guide Syndicated Mortgage Rules in Canada After the 2021 Reforms A syndicated mortgage investment is a share in a single mortgage loan funded by two or more investors, usually held for them by a trustee or administrator registered on title. Since amendments by Canadian securities regu</t>
  </si>
  <si>
    <t xml:space="preserve">Location page · Ontario Mortgage Investment Regulation in Ontario Private mortgage investing in Ontario is regulated by two bodies. The Financial Services Regulatory Authority of Ontario (FSRA) licenses mortgage brokerages, agents and mortgage administrators under the Mortgage Brokerag</t>
  </si>
  <si>
    <t xml:space="preserve">Location page · British Columbia Mortgage Investment Regulation in British Columbia — and the October 2026 Change British Columbia's Mortgage Services Act is the law, administered by the BC Financial Services Authority (BCFSA), that is scheduled to come into force on 13 October 2026, repealing and replacing the Mortgage Brokers Act.</t>
  </si>
  <si>
    <t xml:space="preserve">Location page · Alberta Mortgage Investment Regulation in Alberta Mortgage investing in Alberta sits under three sets of rules. Mortgage brokers are regulated by the Real Estate Council of Alberta (RECA) under the Real Estate Act; mortgage investment securities such as MIC shares fall</t>
  </si>
  <si>
    <t xml:space="preserve">Location page · Quebec Mortgage Investing in Quebec: A Different Legal System Mortgage investing in Quebec works under civil law rather than common law. A mortgage is a hypothec governed by the Civil Code of Québec; mortgage brokerage and securities are both regulated by the Autorité des marchés f</t>
  </si>
  <si>
    <t xml:space="preserve">Pillar page How Mortgage Investment Income Is Taxed in Canada Mortgage investment tax treatment in Canada depends on the structure. Interest from a mortgage held directly is taxed as interest income. Taxable dividends from a mortgage investment corporation (MIC) are deemed by subse</t>
  </si>
  <si>
    <t xml:space="preserve">Pillar page Holding Mortgage Investments in an RRSP, TFSA or RRIF Under Canada's RRSP mortgage investment rules, mortgage investments are usually held in a registered plan through a self-directed plan trustee. Shares of a mortgage investment corporation (MIC) are generally a qualified</t>
  </si>
  <si>
    <t xml:space="preserve">Explainer The Registered-Plan Trap: When a MIC Becomes a Prohibited Investment A prohibited investment is property held in a registered plan that is too closely connected to the plan holder, under section 207.01 of the Income Tax Act. For an RRSP mortgage holding, MIC shares can become a prohibited</t>
  </si>
  <si>
    <t xml:space="preserve">Guide Investing in Mortgages Through a Corporation or Holding Company Corporate investment in mortgages in Canada usually means a holding company or operating company subscribing for shares of a mortgage investment corporation (MIC), or holding a mortgage directly. It is generally possible</t>
  </si>
  <si>
    <t xml:space="preserve">Guide Non-Residents Investing in Canadian Mortgages Non-resident investing in a Canadian MIC is possible in some cases, but it depends on whether the issuer and its dealer accept non-resident subscribers and on the securities law where you live. For tax, amounts a MIC pay</t>
  </si>
  <si>
    <t xml:space="preserve">Guide What to Expect as a Mortgage Investor: Reporting, Statements and Communication Mortgage investment reporting to investors is the set of statements, notices and tax slips that an issuer, its mortgage administrator, the dealer and any plan trustee send after you invest. For MIC shareholders that usua</t>
  </si>
  <si>
    <t xml:space="preserve">Guide How Mortgages Are Underwritten — From an Investor's Side of the Table Underwriting is a lender's assessment of whether to make a loan and on what terms. In private lending, how mortgages are underwritten for investors comes down to three layers: the property (appraised value, saleability a</t>
  </si>
  <si>
    <t xml:space="preserve">FAQ hub Minimum Investments and Getting Started: What It Actually Takes A MIC minimum investment is the smallest subscription a mortgage investment corporation will accept; it is set in the issuer's offering memorandum, the dealer may add its own, and there is no national figure. Separately,</t>
  </si>
  <si>
    <t xml:space="preserve">Guide Who Might Consider Mortgage Investing — and Who Probably Should Not No article can say who should invest in mortgages; that depends on one person's finances and is assessed in a registered dealer's know-your-client and suitability review. In general terms, investors who might consider it</t>
  </si>
  <si>
    <t xml:space="preserve">Guide Mortgage Investing for Retirement Income Mortgage investing for retirement income in Canada means holding mortgages, usually through mortgage investment corporation (MIC) shares, for the distributions paid from borrowers' interest. It can contribute to retireme</t>
  </si>
  <si>
    <t xml:space="preserve">Guide Short-Duration Mortgage Investments for Investors Who Need Flexibility A short-term mortgage investment in Canada usually means one of two different things: a loan with a short term, such as a 3- to 12-month private or bridge mortgage, or an investment the investor can exit quickly. They ar</t>
  </si>
  <si>
    <t xml:space="preserve">Guide Building Real-Estate Exposure Without Becoming a Landlord Real estate exposure without owning property means earning returns linked to real estate without holding title or managing tenants, most often by lending against property (directly or through a mortgage investment corpor</t>
  </si>
  <si>
    <t xml:space="preserve">Pillar page Mortgage Investing as Passive Income in Canada Mortgage passive income is the interest income an investor receives from mortgages without arranging or servicing the loans personally, usually as distributions from mortgage investment corporation (MIC) shares. It is pa</t>
  </si>
  <si>
    <t xml:space="preserve">Data / research The Canadian Mortgage Investment Market in Numbers There is no single official figure for MIC market size in Canada. A mortgage investment corporation is a tax status under section 130.1 of the Income Tax Act, not a licence, so no regulator counts MICs directly. The clos</t>
  </si>
  <si>
    <t xml:space="preserve">Location page · Ontario Mortgage Investing in Ontario Mortgage investing in Ontario means lending against Ontario property, directly, through a syndicated mortgage or by buying shares of a mortgage investment corporation (MIC). Mortgage brokerages, agents and mortgage admin</t>
  </si>
  <si>
    <t xml:space="preserve">Location page · GTA Mortgage Investing in the Greater Toronto Area Mortgage investing in the GTA means lending money against property in Toronto and the surrounding regions of Durham, York, Peel and Halton, either directly or through a pooled vehicle such as a mortgage investment corpor</t>
  </si>
  <si>
    <t xml:space="preserve">Location page · British Columbia Mortgage Investing in British Columbia Mortgage investing in British Columbia means lending against BC property, either directly or through a pooled vehicle such as a mortgage investment corporation (MIC). BCFSA regulates mortgage brokering, and the Mortgage</t>
  </si>
  <si>
    <t xml:space="preserve">Location page · Alberta Mortgage Investing in Alberta Mortgage investing in Alberta means lending against Alberta property, either directly or through a pooled vehicle such as a mortgage investment corporation (MIC). The Real Estate Council of Alberta (RECA) regulates mortg</t>
  </si>
  <si>
    <t xml:space="preserve">Location page · Ottawa / NCR Mortgage Investing in Ottawa and the National Capital Region Mortgage investing in Ottawa means lending against Ottawa-area property, either directly or through a pooled vehicle such as a mortgage investment corporation (MIC), under Ontario rules: FSRA licenses mortgage brokerages</t>
  </si>
  <si>
    <t xml:space="preserve">Location page · QC / MB / SK / Atlantic Mortgage Investing in Quebec, the Prairies and Atlantic Canada Mortgage investing in Quebec, the Prairies and Atlantic Canada follows the same basic model as elsewhere, lending against property directly or through a mortgage investment corporation (MIC), but the rules change at each</t>
  </si>
  <si>
    <t xml:space="preserve">prospectus</t>
  </si>
  <si>
    <t xml:space="preserve">Mortgage investment rules by province</t>
  </si>
  <si>
    <t xml:space="preserve">the exempt market and offering memorandums</t>
  </si>
  <si>
    <t xml:space="preserve">minimum investments and getting started</t>
  </si>
  <si>
    <t xml:space="preserve">When a MIC becomes a prohibited investment</t>
  </si>
  <si>
    <t xml:space="preserve">Who might consider mortgage investing</t>
  </si>
  <si>
    <t xml:space="preserve">The investment process, step by step</t>
  </si>
  <si>
    <t xml:space="preserve">Request the OM</t>
  </si>
  <si>
    <t xml:space="preserve">Investor profiles and processHow to Invest in Mortgages: The Process Step by Step</t>
  </si>
  <si>
    <t xml:space="preserve">Regulation, tax and eligibilityThe Exempt Market and Offering Memorandums</t>
  </si>
  <si>
    <t xml:space="preserve">Regulation, tax and eligibilityMortgage Investment Rules by Province: A Verified Comparison</t>
  </si>
  <si>
    <t xml:space="preserve">Regulation, tax and eligibilityHow Mortgage Investing Is Regulated in Canada</t>
  </si>
  <si>
    <t xml:space="preserve">a MIC and a REIT</t>
  </si>
  <si>
    <t xml:space="preserve">mortgage investing and GICs</t>
  </si>
  <si>
    <t xml:space="preserve">mortgage investing and bonds</t>
  </si>
  <si>
    <t xml:space="preserve">accredited investor rules in Canada</t>
  </si>
  <si>
    <t xml:space="preserve">Comparisons with other investmentsMortgage Investing vs Bonds: Two Kinds of Fixed Income</t>
  </si>
  <si>
    <t xml:space="preserve">Comparisons with other investmentsMortgage Investing vs GICs: Yield, Insurance and What You Give Up</t>
  </si>
  <si>
    <t xml:space="preserve">Risk, security and due diligenceThe Risks of Mortgage Investing in Canada</t>
  </si>
  <si>
    <t xml:space="preserve">Understanding mortgage investingWhat Is Mortgage Investing in Canada?</t>
  </si>
  <si>
    <t xml:space="preserve">loan-to-value ratio</t>
  </si>
  <si>
    <t xml:space="preserve">reading a MIC’s financial statements and offering memorandum</t>
  </si>
  <si>
    <t xml:space="preserve">syndicated mortgage rules after the 2021 reforms</t>
  </si>
  <si>
    <t xml:space="preserve">the mortgage investor’s due diligence checklist</t>
  </si>
  <si>
    <t xml:space="preserve">hypothetical conditions</t>
  </si>
  <si>
    <t xml:space="preserve">property marketability risk</t>
  </si>
  <si>
    <t xml:space="preserve">Types of mortgage investmentConstruction Mortgage Investments: Draws, Holdbacks and Cost to Complete</t>
  </si>
  <si>
    <t xml:space="preserve">Risk, security and due diligenceLoan-to-Value for Mortgage Investors: How to Read It and Where It Misleads</t>
  </si>
  <si>
    <t xml:space="preserve">Risk, security and due diligenceThe Mortgage Investor's Due Diligence Checklist</t>
  </si>
  <si>
    <t xml:space="preserve">Regulation, tax and eligibilitySyndicated Mortgage Rules in Canada After the 2021 Reforms</t>
  </si>
  <si>
    <t xml:space="preserve">capital preservation and loss of principal</t>
  </si>
  <si>
    <t xml:space="preserve">Returns, income and cash flowCapital Preservation and Loss of Principal: Both Sides Stated Plainly</t>
  </si>
  <si>
    <t xml:space="preserve">Risk, security and due diligenceLiquidity and Redemption: Getting Your Money Out</t>
  </si>
  <si>
    <t xml:space="preserve">mortgage administrator</t>
  </si>
  <si>
    <t xml:space="preserve">accelerate</t>
  </si>
  <si>
    <t xml:space="preserve">power of sale for mortgage investors</t>
  </si>
  <si>
    <t xml:space="preserve">mortgage enforcement across Canada</t>
  </si>
  <si>
    <t xml:space="preserve">first vs second mortgage investments</t>
  </si>
  <si>
    <t xml:space="preserve">what enforcement actually costs a mortgage investor</t>
  </si>
  <si>
    <t xml:space="preserve">Risk, security and due diligenceWhat Enforcement Actually Costs a Mortgage Investor</t>
  </si>
  <si>
    <t xml:space="preserve">Comparisons with other investmentsFirst vs Second Mortgage Investments: What Position Really Costs</t>
  </si>
  <si>
    <t xml:space="preserve">Risk, security and due diligenceMortgage Enforcement Across Canada: Power of Sale, Judicial Sale and Quebec's Recourses</t>
  </si>
  <si>
    <t xml:space="preserve">Risk, security and due diligencePower of Sale: What It Means for a Mortgage Investor</t>
  </si>
  <si>
    <t xml:space="preserve">registered charge</t>
  </si>
  <si>
    <t xml:space="preserve">reinvestment risk</t>
  </si>
  <si>
    <t xml:space="preserve">short-duration mortgage investments</t>
  </si>
  <si>
    <t xml:space="preserve">comparison of enforcement across Canada</t>
  </si>
  <si>
    <t xml:space="preserve">Terms, renewals, early repayment and discharge</t>
  </si>
  <si>
    <t xml:space="preserve">Returns, income and cash flowTerms, Renewals, Early Repayment and Discharge</t>
  </si>
  <si>
    <t xml:space="preserve">Returns, income and cash flowReinvestment Risk: The Cost of Money Coming Back Too Soon</t>
  </si>
  <si>
    <t xml:space="preserve">Investor profiles and processShort-Duration Mortgage Investments for Investors Who Need Flexibility</t>
  </si>
  <si>
    <t xml:space="preserve">MIC or MIE?</t>
  </si>
  <si>
    <t xml:space="preserve">what is a mortgage investment corporation?</t>
  </si>
  <si>
    <t xml:space="preserve">loan-to-value for mortgage investors</t>
  </si>
  <si>
    <t xml:space="preserve">concentration and diversification in a mortgage portfolio</t>
  </si>
  <si>
    <t xml:space="preserve">mortgage investing in Ontario</t>
  </si>
  <si>
    <t xml:space="preserve">the risks of mortgage investing in Canada</t>
  </si>
  <si>
    <t xml:space="preserve">Types of mortgage investmentMIC or MIE? Why the Industry and the Regulators Use Different Words</t>
  </si>
  <si>
    <t xml:space="preserve">Risk, security and due diligenceConcentration and Diversification in a Mortgage Portfolio</t>
  </si>
  <si>
    <t xml:space="preserve">Types of mortgage investmentWhat Is a Mortgage Investment Corporation (MIC)?</t>
  </si>
  <si>
    <t xml:space="preserve">Loan-to-value for mortgage investors</t>
  </si>
  <si>
    <t xml:space="preserve">What happens when a borrower defaults</t>
  </si>
  <si>
    <t xml:space="preserve">performance and risk page</t>
  </si>
  <si>
    <t xml:space="preserve">Risk, security and due diligenceWhat Happens When a Borrower Defaults on Your Mortgage Investment</t>
  </si>
  <si>
    <t xml:space="preserve">Returns, income and cash flowWhere Do Mortgage Investment Returns Actually Come From?</t>
  </si>
  <si>
    <t xml:space="preserve">how mortgages are underwritten</t>
  </si>
  <si>
    <t xml:space="preserve">property value and marketability risk</t>
  </si>
  <si>
    <t xml:space="preserve">Investor profiles and processHow Mortgages Are Underwritten — From an Investor's Side of the Table</t>
  </si>
  <si>
    <t xml:space="preserve">Risk, security and due diligenceProperty Value and Marketability Risk</t>
  </si>
  <si>
    <t xml:space="preserve">Comparisons with other investmentsResidential vs Commercial Mortgage Investing</t>
  </si>
  <si>
    <t xml:space="preserve">development financing as an investment</t>
  </si>
  <si>
    <t xml:space="preserve">appraisals for mortgage investors</t>
  </si>
  <si>
    <t xml:space="preserve">a borrower default</t>
  </si>
  <si>
    <t xml:space="preserve">Types of mortgage investmentDevelopment Financing as an Investment: Land, Servicing and Entitlement Risk</t>
  </si>
  <si>
    <t xml:space="preserve">how to invest, step by step</t>
  </si>
  <si>
    <t xml:space="preserve">how mortgage investment income is taxed in Canada</t>
  </si>
  <si>
    <t xml:space="preserve">nine conditions a MIC must meet</t>
  </si>
  <si>
    <t xml:space="preserve">when a MIC becomes a prohibited investment</t>
  </si>
  <si>
    <t xml:space="preserve">Regulation, tax and eligibilityAre You an Accredited Investor? Canadian Eligibility Explained</t>
  </si>
  <si>
    <t xml:space="preserve">Regulation, tax and eligibilityHow Mortgage Investment Income Is Taxed in Canada</t>
  </si>
  <si>
    <t xml:space="preserve">power of sale</t>
  </si>
  <si>
    <t xml:space="preserve">what happens when a borrower defaults on a mortgage investment</t>
  </si>
  <si>
    <t xml:space="preserve">what security position really costs</t>
  </si>
  <si>
    <t xml:space="preserve">construction mortgage</t>
  </si>
  <si>
    <t xml:space="preserve">syndicated mortgage rules in Canada</t>
  </si>
  <si>
    <t xml:space="preserve">glossary of mortgage investment terms</t>
  </si>
  <si>
    <t xml:space="preserve">how fractional and syndicated mortgage investing works</t>
  </si>
  <si>
    <t xml:space="preserve">MIC vs investing in mortgages directly</t>
  </si>
  <si>
    <t xml:space="preserve">mortgage administrators and why they matter</t>
  </si>
  <si>
    <t xml:space="preserve">mortgage investment structures compared</t>
  </si>
  <si>
    <t xml:space="preserve">Comparisons with other investmentsMIC vs Investing in Mortgages Directly</t>
  </si>
  <si>
    <t xml:space="preserve">Regulation, tax and eligibilityMortgage Administrators: Who Services Your Investment and Why It Matters</t>
  </si>
  <si>
    <t xml:space="preserve">Regulation, tax and eligibilityHolding Mortgage Investments in an RRSP, TFSA or RRIF</t>
  </si>
  <si>
    <t xml:space="preserve">Accredited investor eligibility in Canada</t>
  </si>
  <si>
    <t xml:space="preserve">Offering memorandum limits by province</t>
  </si>
  <si>
    <t xml:space="preserve">Syndicated mortgage rules after the 2021 reforms</t>
  </si>
  <si>
    <t xml:space="preserve">Reading a MIC’s financial statements and offering memorandum</t>
  </si>
  <si>
    <t xml:space="preserve">how to evaluate a MIC</t>
  </si>
  <si>
    <t xml:space="preserve">Risk, security and due diligenceReading a MIC's Financial Statements and Offering Memorandum</t>
  </si>
  <si>
    <t xml:space="preserve">how mortgage investments are secured</t>
  </si>
  <si>
    <t xml:space="preserve">Power of sale for mortgage investors</t>
  </si>
  <si>
    <t xml:space="preserve">first and second mortgage investments compared</t>
  </si>
  <si>
    <t xml:space="preserve">Understanding mortgage investingHow Are Canadian Mortgages Secured Against Real Estate?</t>
  </si>
  <si>
    <t xml:space="preserve">First mortgage investments explained</t>
  </si>
  <si>
    <t xml:space="preserve">Power of sale: what it means for a mortgage investor</t>
  </si>
  <si>
    <t xml:space="preserve">Mortgage enforcement across Canada</t>
  </si>
  <si>
    <t xml:space="preserve">Types of mortgage investmentFirst Mortgage Investments Explained</t>
  </si>
  <si>
    <t xml:space="preserve">Types of mortgage investmentSecond Mortgage Investments: The Yield and the Trade-Off</t>
  </si>
  <si>
    <t xml:space="preserve">after-tax yield calculator</t>
  </si>
  <si>
    <t xml:space="preserve">interest rate risk for mortgage investors</t>
  </si>
  <si>
    <t xml:space="preserve">terms, renewals, early repayment and discharge</t>
  </si>
  <si>
    <t xml:space="preserve">where mortgage investment returns come from</t>
  </si>
  <si>
    <t xml:space="preserve">Risk, security and due diligenceInterest Rate Risk for Mortgage Investors</t>
  </si>
  <si>
    <t xml:space="preserve">as-is or as-complete value</t>
  </si>
  <si>
    <t xml:space="preserve">Types of mortgage investmentComparing Mortgage Investment Structures: MIC, Fund, LP, Trust and Syndicated</t>
  </si>
  <si>
    <t xml:space="preserve">the real fee stack in a mortgage investment</t>
  </si>
  <si>
    <t xml:space="preserve">mortgage investing vs GICs</t>
  </si>
  <si>
    <t xml:space="preserve">Returns, income and cash flowThe Real Fee Stack in a Mortgage Investment, Itemised</t>
  </si>
  <si>
    <t xml:space="preserve">Returns, income and cash flowAfter-Tax Yield Calculator for Canadian Mortgage Investments</t>
  </si>
  <si>
    <t xml:space="preserve">what to expect as a mortgage investor</t>
  </si>
  <si>
    <t xml:space="preserve">monthly income from mortgage investments</t>
  </si>
  <si>
    <t xml:space="preserve">DRIP compounding calculator</t>
  </si>
  <si>
    <t xml:space="preserve">Returns, income and cash flowMonthly Income From Mortgage Investments: How the Cash Flow Works</t>
  </si>
  <si>
    <t xml:space="preserve">Investor profiles and processWhat to Expect as a Mortgage Investor: Reporting, Statements and Communication</t>
  </si>
  <si>
    <t xml:space="preserve">Understanding mortgage investingHow Does Private Mortgage Investing Work?</t>
  </si>
  <si>
    <t xml:space="preserve">Title, insurance and the legal file</t>
  </si>
  <si>
    <t xml:space="preserve">Risk, security and due diligenceAppraisals for Mortgage Investors: As-Is vs As-Complete</t>
  </si>
  <si>
    <t xml:space="preserve">Risk, security and due diligenceTitle, Insurance and the Legal File a Mortgage Investor Should See</t>
  </si>
  <si>
    <t xml:space="preserve">The real fee stack in a mortgage investment</t>
  </si>
  <si>
    <t xml:space="preserve">Gross, net and after-tax yield</t>
  </si>
  <si>
    <t xml:space="preserve">performance and risk overview</t>
  </si>
  <si>
    <t xml:space="preserve">Returns, income and cash flowGross Yield, Net Yield and After-Tax Yield: The Three Numbers That Matter</t>
  </si>
  <si>
    <t xml:space="preserve">Investor profiles and processMortgage Investing as Passive Income in Canada</t>
  </si>
  <si>
    <t xml:space="preserve">how to evaluate a MIC before you invest</t>
  </si>
  <si>
    <t xml:space="preserve">Risk, security and due diligenceHow to Evaluate a MIC Before You Invest</t>
  </si>
  <si>
    <t xml:space="preserve">how interest is paid to mortgage investors</t>
  </si>
  <si>
    <t xml:space="preserve">how to invest in mortgages, step by step</t>
  </si>
  <si>
    <t xml:space="preserve">the nine conditions a MIC must meet</t>
  </si>
  <si>
    <t xml:space="preserve">MIC share structure</t>
  </si>
  <si>
    <t xml:space="preserve">the registered-plan trap</t>
  </si>
  <si>
    <t xml:space="preserve">Types of mortgage investmentThe Nine Conditions a MIC Must Meet to Keep Its Tax Status</t>
  </si>
  <si>
    <t xml:space="preserve">loan-to-value</t>
  </si>
  <si>
    <t xml:space="preserve">reinvestment risk in mortgage investing</t>
  </si>
  <si>
    <t xml:space="preserve">Fixed vs variable rate mortgage investments</t>
  </si>
  <si>
    <t xml:space="preserve">Mortgage investing vs bonds</t>
  </si>
  <si>
    <t xml:space="preserve">The risks of mortgage investing in Canada</t>
  </si>
  <si>
    <t xml:space="preserve">Comparisons with other investmentsFixed vs Variable Rate Mortgage Investments</t>
  </si>
  <si>
    <t xml:space="preserve">retraction and gating</t>
  </si>
  <si>
    <t xml:space="preserve">what happens when a borrower defaults</t>
  </si>
  <si>
    <t xml:space="preserve">syndicated mortgage rules</t>
  </si>
  <si>
    <t xml:space="preserve">are you an accredited investor?</t>
  </si>
  <si>
    <t xml:space="preserve">how to invest in mortgages step by step</t>
  </si>
  <si>
    <t xml:space="preserve">a beginner’s guide to mortgage investing in Canada</t>
  </si>
  <si>
    <t xml:space="preserve">Understanding mortgage investingA Beginner's Guide to Mortgage Investing in Canada</t>
  </si>
  <si>
    <t xml:space="preserve">pari passu</t>
  </si>
  <si>
    <t xml:space="preserve">Regulation, tax and eligibilityThe Registered-Plan Trap: When a MIC Becomes a Prohibited Investment</t>
  </si>
  <si>
    <t xml:space="preserve">reading a MIC’s financial statements</t>
  </si>
  <si>
    <t xml:space="preserve">Direct mortgage investing</t>
  </si>
  <si>
    <t xml:space="preserve">fractional and syndicated mortgage investing</t>
  </si>
  <si>
    <t xml:space="preserve">What is a mortgage investment corporation</t>
  </si>
  <si>
    <t xml:space="preserve">Mortgage administrators</t>
  </si>
  <si>
    <t xml:space="preserve">Holding mortgage investments in an RRSP, TFSA or RRIF</t>
  </si>
  <si>
    <t xml:space="preserve">Types of mortgage investmentDirect Mortgage Investing: Holding the Charge in Your Own Name</t>
  </si>
  <si>
    <t xml:space="preserve">mortgage investment rules by province</t>
  </si>
  <si>
    <t xml:space="preserve">Canadian mortgage investment market in numbers</t>
  </si>
  <si>
    <t xml:space="preserve">Tools, data and referenceThe Canadian Mortgage Investment Market in Numbers</t>
  </si>
  <si>
    <t xml:space="preserve">Comparing mortgage investment structures</t>
  </si>
  <si>
    <t xml:space="preserve">Mortgage investing vs dividend stocks</t>
  </si>
  <si>
    <t xml:space="preserve">mortgage investing vs owning a rental property</t>
  </si>
  <si>
    <t xml:space="preserve">Comparisons with other investmentsMortgage Investing vs Owning a Rental Property</t>
  </si>
  <si>
    <t xml:space="preserve">mortgage investing for retirement income</t>
  </si>
  <si>
    <t xml:space="preserve">Investor profiles and processMortgage Investing for Retirement Income</t>
  </si>
  <si>
    <t xml:space="preserve">Returns, income and cash flowCompounding a Mortgage Investment: How DRIPs Change the Maths</t>
  </si>
  <si>
    <t xml:space="preserve">title search</t>
  </si>
  <si>
    <t xml:space="preserve">Holding the mortgage in your own name</t>
  </si>
  <si>
    <t xml:space="preserve">Fractional and syndicated mortgage investments</t>
  </si>
  <si>
    <t xml:space="preserve">RRSP, TFSA or other registered plan</t>
  </si>
  <si>
    <t xml:space="preserve">The mortgage investor’s due diligence checklist</t>
  </si>
  <si>
    <t xml:space="preserve">mortgage investment regulation in British Columbia</t>
  </si>
  <si>
    <t xml:space="preserve">mortgage investment regulation in Alberta</t>
  </si>
  <si>
    <t xml:space="preserve">mortgage investing in Québec</t>
  </si>
  <si>
    <t xml:space="preserve">Regulation, tax and eligibilityMortgage Investing in Quebec: A Different Legal System</t>
  </si>
  <si>
    <t xml:space="preserve">Regulation, tax and eligibilityMortgage Investment Regulation in Alberta</t>
  </si>
  <si>
    <t xml:space="preserve">Regulation, tax and eligibilityMortgage Investment Regulation in British Columbia — and the October 2026 Change</t>
  </si>
  <si>
    <t xml:space="preserve">comparing mortgage investment structures</t>
  </si>
  <si>
    <t xml:space="preserve">Mortgage investment regulation in Alberta</t>
  </si>
  <si>
    <t xml:space="preserve">RRSPs, TFSAs, RRIFs and other registered plans</t>
  </si>
  <si>
    <t xml:space="preserve">mortgage investing in British Columbia</t>
  </si>
  <si>
    <t xml:space="preserve">The Canadian mortgage investment market in numbers</t>
  </si>
  <si>
    <t xml:space="preserve">Mortgage investment regulation in British Columbia and the October 2026 change</t>
  </si>
  <si>
    <t xml:space="preserve">mortgage investing in Alberta</t>
  </si>
  <si>
    <t xml:space="preserve">the accredited investor rules</t>
  </si>
  <si>
    <t xml:space="preserve">Are you an accredited investor?</t>
  </si>
  <si>
    <t xml:space="preserve">Understanding mortgage investingCanadian Mortgage Investment Glossary: 120 Terms Defined</t>
  </si>
  <si>
    <t xml:space="preserve">Investor profiles and processMinimum Investments and Getting Started: What It Actually Takes</t>
  </si>
  <si>
    <t xml:space="preserve">liquidity and redemption: getting your money out</t>
  </si>
  <si>
    <t xml:space="preserve">who might consider mortgage investing</t>
  </si>
  <si>
    <t xml:space="preserve">syndicated mortgage rules in Canada after the 2021 reforms</t>
  </si>
  <si>
    <t xml:space="preserve">mortgage investment regulation in Ontario</t>
  </si>
  <si>
    <t xml:space="preserve">power of sale: what it means for a mortgage investor</t>
  </si>
  <si>
    <t xml:space="preserve">mortgage investing in the Greater Toronto Area</t>
  </si>
  <si>
    <t xml:space="preserve">mortgage investing in Ottawa and the National Capital Region</t>
  </si>
  <si>
    <t xml:space="preserve">the Canadian mortgage investment market in numbers</t>
  </si>
  <si>
    <t xml:space="preserve">Tools, data and referenceMortgage Investing in the Greater Toronto Area</t>
  </si>
  <si>
    <t xml:space="preserve">Regulation, tax and eligibilityMortgage Investment Regulation in Ontario</t>
  </si>
  <si>
    <t xml:space="preserve">What enforcement actually costs a mortgage investor</t>
  </si>
  <si>
    <t xml:space="preserve">How loan-to-value protects capital</t>
  </si>
  <si>
    <t xml:space="preserve">Tools, data and referenceMortgage Investing in Ontario</t>
  </si>
  <si>
    <t xml:space="preserve">Mortgage investment regulation in Ontario</t>
  </si>
  <si>
    <t xml:space="preserve">Mortgage investing in Quebec</t>
  </si>
  <si>
    <t xml:space="preserve">investing in mortgages through a corporation or holding company</t>
  </si>
  <si>
    <t xml:space="preserve">its own guide</t>
  </si>
  <si>
    <t xml:space="preserve">hypothec</t>
  </si>
  <si>
    <t xml:space="preserve">Accredited investors</t>
  </si>
  <si>
    <t xml:space="preserve">mortgage investing in Quebec, the Prairies and Atlantic Canada</t>
  </si>
  <si>
    <t xml:space="preserve">verified comparison of mortgage investment rules by province</t>
  </si>
  <si>
    <t xml:space="preserve">Tools, data and referenceMortgage Investing in Quebec, the Prairies and Atlantic Canada</t>
  </si>
  <si>
    <t xml:space="preserve">Mortgage funds in Canada</t>
  </si>
  <si>
    <t xml:space="preserve">Interest rate risk for mortgage investors</t>
  </si>
  <si>
    <t xml:space="preserve">Alternative fixed income in Canada</t>
  </si>
  <si>
    <t xml:space="preserve">Mortgage investing vs GICs</t>
  </si>
  <si>
    <t xml:space="preserve">Comparisons with other investmentsAlternative Fixed Income in Canada: Where Mortgage Investments Sit</t>
  </si>
  <si>
    <t xml:space="preserve">Comparisons with other investmentsMortgage Investing vs Dividend Stocks for Income</t>
  </si>
  <si>
    <t xml:space="preserve">MIC vs REIT in Canada</t>
  </si>
  <si>
    <t xml:space="preserve">How mortgage investment income is taxed</t>
  </si>
  <si>
    <t xml:space="preserve">Monthly income from mortgage investments</t>
  </si>
  <si>
    <t xml:space="preserve">risks of mortgage investing in Canada</t>
  </si>
  <si>
    <t xml:space="preserve">prior claim</t>
  </si>
  <si>
    <t xml:space="preserve">Building real-estate exposure without becoming a landlord</t>
  </si>
  <si>
    <t xml:space="preserve">Comparisons with other investmentsMIC vs REIT in Canada: Debt Income or Equity Ownership</t>
  </si>
  <si>
    <t xml:space="preserve">Second mortgages pay more than first mortgages</t>
  </si>
  <si>
    <t xml:space="preserve">know-your-client and suitability review</t>
  </si>
  <si>
    <t xml:space="preserve">gross yield, net yield and after-tax yield</t>
  </si>
  <si>
    <t xml:space="preserve">accredited investor</t>
  </si>
  <si>
    <t xml:space="preserve">Interest reserves</t>
  </si>
  <si>
    <t xml:space="preserve">accredited investor tests</t>
  </si>
  <si>
    <t xml:space="preserve">judicial sale</t>
  </si>
  <si>
    <t xml:space="preserve">Tools, data and referenceMortgage Investing in Alberta</t>
  </si>
  <si>
    <t xml:space="preserve">Tools, data and referenceMortgage Investing in British Columbia</t>
  </si>
  <si>
    <t xml:space="preserve">The nine MIC conditions explained</t>
  </si>
  <si>
    <t xml:space="preserve">How the exempt market and offering memorandums work</t>
  </si>
  <si>
    <t xml:space="preserve">Mortgage administrators and why they matter</t>
  </si>
  <si>
    <t xml:space="preserve">The exempt market and offering memorandums</t>
  </si>
  <si>
    <t xml:space="preserve">Mortgage investing in Ontario</t>
  </si>
  <si>
    <t xml:space="preserve">what a mortgage administrator does</t>
  </si>
  <si>
    <t xml:space="preserve">mortgage investments are not guaranteed</t>
  </si>
  <si>
    <t xml:space="preserve">Mortgage investment regulation in British Columbia</t>
  </si>
  <si>
    <t xml:space="preserve">Mortgage investing in Québec</t>
  </si>
  <si>
    <t xml:space="preserve">mortgage funds in Canada and how they differ from a MIC</t>
  </si>
  <si>
    <t xml:space="preserve">Types of mortgage investmentFractional and Syndicated Mortgage Investments</t>
  </si>
  <si>
    <t xml:space="preserve">Types of mortgage investmentMortgage Funds in Canada: How They Differ From a MIC</t>
  </si>
  <si>
    <t xml:space="preserve">nine conditions in subsection 130.1(6)</t>
  </si>
  <si>
    <t xml:space="preserve">gross, net and after-tax yield</t>
  </si>
  <si>
    <t xml:space="preserve">adjusted cost base</t>
  </si>
  <si>
    <t xml:space="preserve">non-residents investing in a Canadian MIC</t>
  </si>
  <si>
    <t xml:space="preserve">Regulation, tax and eligibilityInvesting in Mortgages Through a Corporation or Holding Company</t>
  </si>
  <si>
    <t xml:space="preserve">bridge mortgage investments</t>
  </si>
  <si>
    <t xml:space="preserve">Types of mortgage investmentBridge Mortgage Investments: Short Terms, Fast Turnover</t>
  </si>
  <si>
    <t xml:space="preserve">title, insurance and the legal file</t>
  </si>
  <si>
    <t xml:space="preserve">Loan-to-value</t>
  </si>
  <si>
    <t xml:space="preserve">the real fee stack</t>
  </si>
  <si>
    <t xml:space="preserve">mortgage investment red flags and fraud prevention</t>
  </si>
  <si>
    <t xml:space="preserve">Risk, security and due diligenceMortgage Investment Red Flags and Fraud Prevention</t>
  </si>
  <si>
    <t xml:space="preserve">Ontario mortgages</t>
  </si>
  <si>
    <t xml:space="preserve">significant interest and non-arm’s-length</t>
  </si>
  <si>
    <t xml:space="preserve">nine conditions a MIC must meet to keep its tax status</t>
  </si>
  <si>
    <t xml:space="preserve">Reading a MIC’s financial statements</t>
  </si>
  <si>
    <t xml:space="preserve">appraisal</t>
  </si>
  <si>
    <t xml:space="preserve">Comparable sales</t>
  </si>
  <si>
    <t xml:space="preserve">the real cost of enforcing a mortgage investment</t>
  </si>
  <si>
    <t xml:space="preserve">expected credit losses</t>
  </si>
  <si>
    <t xml:space="preserve">what a MIC is</t>
  </si>
  <si>
    <t xml:space="preserve">mortgage passive income in Canada</t>
  </si>
  <si>
    <t xml:space="preserve">Bridge mortgage investments</t>
  </si>
  <si>
    <t xml:space="preserve">Where mortgage investment returns come from</t>
  </si>
  <si>
    <t xml:space="preserve">the nine conditions a MIC must meet to keep its tax status</t>
  </si>
  <si>
    <t xml:space="preserve">enforcement across Canada</t>
  </si>
  <si>
    <t xml:space="preserve">how loan-to-value protects capital</t>
  </si>
  <si>
    <t xml:space="preserve">residential mortgage investing in Canada</t>
  </si>
  <si>
    <t xml:space="preserve">commercial mortgage investing in Canada</t>
  </si>
  <si>
    <t xml:space="preserve">as-is and as-complete appraisals</t>
  </si>
  <si>
    <t xml:space="preserve">Types of mortgage investmentCommercial Mortgage Investing in Canada</t>
  </si>
  <si>
    <t xml:space="preserve">Types of mortgage investmentResidential Mortgage Investing in Canada</t>
  </si>
  <si>
    <t xml:space="preserve">Mortgage investing for retirement income</t>
  </si>
  <si>
    <t xml:space="preserve">first mortgage investments explained</t>
  </si>
  <si>
    <t xml:space="preserve">bridge mortgage investments: short terms, fast turnover</t>
  </si>
  <si>
    <t xml:space="preserve">reinvestment risk: the cost of money coming back too soon</t>
  </si>
  <si>
    <t xml:space="preserve">construction and development projects</t>
  </si>
  <si>
    <t xml:space="preserve">Appraisals for mortgage investors</t>
  </si>
  <si>
    <t xml:space="preserve">How Canadian mortgages are secured against real estate</t>
  </si>
  <si>
    <t xml:space="preserve">what a mortgage administrator does for investors</t>
  </si>
  <si>
    <t xml:space="preserve">warning signs worth knowing before investing</t>
  </si>
  <si>
    <t xml:space="preserve">Types of mortgage investmentMIC Share Structure: Preferred, Common and Multiple Classes</t>
  </si>
  <si>
    <t xml:space="preserve">Canadian mortgage investment glossary</t>
  </si>
  <si>
    <t xml:space="preserve">how private mortgage investing works</t>
  </si>
  <si>
    <t xml:space="preserve">How mortgage investors make money</t>
  </si>
  <si>
    <t xml:space="preserve">Understanding mortgage investingHow Do Mortgage Investors Actually Make Money?</t>
  </si>
  <si>
    <t xml:space="preserve">mortgage administrators: who services your investment</t>
  </si>
  <si>
    <t xml:space="preserve">alternative fixed income in Canada</t>
  </si>
  <si>
    <t xml:space="preserve">Full DRIP calculator</t>
  </si>
  <si>
    <t xml:space="preserve">loan-to-value explained</t>
  </si>
  <si>
    <t xml:space="preserve">Request the OM and financials</t>
  </si>
  <si>
    <t xml:space="preserve">How mortgages are underwritten</t>
  </si>
  <si>
    <t xml:space="preserve">How MIC income is taxed</t>
  </si>
  <si>
    <t xml:space="preserve">All nine conditions explained</t>
  </si>
  <si>
    <t xml:space="preserve">all structures compared</t>
  </si>
  <si>
    <t xml:space="preserve">Model it</t>
  </si>
  <si>
    <t xml:space="preserve">How the trap works</t>
  </si>
  <si>
    <t xml:space="preserve">What a mortgage administrator does and why it matters</t>
  </si>
  <si>
    <t xml:space="preserve">More on the registered-plan trap</t>
  </si>
  <si>
    <t xml:space="preserve">MIC vs REIT compared</t>
  </si>
  <si>
    <t xml:space="preserve">Requested</t>
  </si>
  <si>
    <t xml:space="preserve">Goes to</t>
  </si>
  <si>
    <t xml:space="preserve">Why</t>
  </si>
  <si>
    <t xml:space="preserve">http://lmcmic.ca/&lt;any path&gt;</t>
  </si>
  <si>
    <t xml:space="preserve">https://lmcmic.ca/&lt;same path&gt;</t>
  </si>
  <si>
    <t xml:space="preserve">One canonical origin: HTTPS</t>
  </si>
  <si>
    <t xml:space="preserve">http(s)://www.lmcmic.ca/&lt;any path&gt;</t>
  </si>
  <si>
    <t xml:space="preserve">One canonical host: no www</t>
  </si>
  <si>
    <t xml:space="preserve">/&lt;path&gt; (no trailing slash)</t>
  </si>
  <si>
    <t xml:space="preserve">/&lt;path&gt;/</t>
  </si>
  <si>
    <t xml:space="preserve">Directory URLs end in a slash; only one version is indexable</t>
  </si>
  <si>
    <t xml:space="preserve">/&lt;path&gt;/index.html</t>
  </si>
  <si>
    <t xml:space="preserve">Strip index.html (tested on the original request, so no loop)</t>
  </si>
  <si>
    <t xml:space="preserve">/home</t>
  </si>
  <si>
    <t xml:space="preserve">Legacy WordPress / funnel URL from the previous lmcmic.ca</t>
  </si>
  <si>
    <t xml:space="preserve">/homepage</t>
  </si>
  <si>
    <t xml:space="preserve">/index.php</t>
  </si>
  <si>
    <t xml:space="preserve">/about</t>
  </si>
  <si>
    <t xml:space="preserve">/about-us</t>
  </si>
  <si>
    <t xml:space="preserve">/our-team</t>
  </si>
  <si>
    <t xml:space="preserve">/team</t>
  </si>
  <si>
    <t xml:space="preserve">/who-we-are</t>
  </si>
  <si>
    <t xml:space="preserve">/contact-us</t>
  </si>
  <si>
    <t xml:space="preserve">/get-started</t>
  </si>
  <si>
    <t xml:space="preserve">/start</t>
  </si>
  <si>
    <t xml:space="preserve">/talk-to-an-advisor</t>
  </si>
  <si>
    <t xml:space="preserve">/book</t>
  </si>
  <si>
    <t xml:space="preserve">/apply</t>
  </si>
  <si>
    <t xml:space="preserve">/invest-now</t>
  </si>
  <si>
    <t xml:space="preserve">/start-investing</t>
  </si>
  <si>
    <t xml:space="preserve">/invest</t>
  </si>
  <si>
    <t xml:space="preserve">/investors</t>
  </si>
  <si>
    <t xml:space="preserve">/how-it-works</t>
  </si>
  <si>
    <t xml:space="preserve">/process</t>
  </si>
  <si>
    <t xml:space="preserve">/faqs</t>
  </si>
  <si>
    <t xml:space="preserve">/questions</t>
  </si>
  <si>
    <t xml:space="preserve">/blog</t>
  </si>
  <si>
    <t xml:space="preserve">/news</t>
  </si>
  <si>
    <t xml:space="preserve">/articles</t>
  </si>
  <si>
    <t xml:space="preserve">/resources</t>
  </si>
  <si>
    <t xml:space="preserve">/education</t>
  </si>
  <si>
    <t xml:space="preserve">/performance</t>
  </si>
  <si>
    <t xml:space="preserve">/returns</t>
  </si>
  <si>
    <t xml:space="preserve">/track-record</t>
  </si>
  <si>
    <t xml:space="preserve">/risk</t>
  </si>
  <si>
    <t xml:space="preserve">/what-is-a-mic</t>
  </si>
  <si>
    <t xml:space="preserve">/mic</t>
  </si>
  <si>
    <t xml:space="preserve">/why-mic</t>
  </si>
  <si>
    <t xml:space="preserve">/why-invest</t>
  </si>
  <si>
    <t xml:space="preserve">/privacy-policy</t>
  </si>
  <si>
    <t xml:space="preserve">/wp-admin</t>
  </si>
  <si>
    <t xml:space="preserve">(gone)</t>
  </si>
  <si>
    <t xml:space="preserve">Old WordPress admin/system path: 410 Gone tells crawlers to drop it</t>
  </si>
  <si>
    <t xml:space="preserve">/wp-login.php</t>
  </si>
  <si>
    <t xml:space="preserve">/xmlrpc.php</t>
  </si>
  <si>
    <t xml:space="preserve">/wp-content</t>
  </si>
  <si>
    <t xml:space="preserve">/wp-includes</t>
  </si>
  <si>
    <t xml:space="preserve">/wp-json</t>
  </si>
  <si>
    <t xml:space="preserve">Image</t>
  </si>
  <si>
    <t xml:space="preserve">Source URL (lendmaxcapital.ca)</t>
  </si>
  <si>
    <t xml:space="preserve">Source size (KB)</t>
  </si>
  <si>
    <t xml:space="preserve">Alt text</t>
  </si>
  <si>
    <t xml:space="preserve">Used on</t>
  </si>
  <si>
    <t xml:space="preserve">Served file</t>
  </si>
  <si>
    <t xml:space="preserve">Format</t>
  </si>
  <si>
    <t xml:space="preserve">Width (px)</t>
  </si>
  <si>
    <t xml:space="preserve">Size (KB)</t>
  </si>
  <si>
    <t xml:space="preserve">Saving vs source</t>
  </si>
  <si>
    <t xml:space="preserve">driving-results</t>
  </si>
  <si>
    <t xml:space="preserve">https://lendmaxcapital.ca/img/driving-results.jpg</t>
  </si>
  <si>
    <t xml:space="preserve">Mid-rise residential condominium building in Ontario with the caption: Driving Results. In every market condition.</t>
  </si>
  <si>
    <t xml:space="preserve">/, /performance-and-risk/, /contact/</t>
  </si>
  <si>
    <t xml:space="preserve">/assets/img/driving-results-400.avif</t>
  </si>
  <si>
    <t xml:space="preserve">AVIF</t>
  </si>
  <si>
    <t xml:space="preserve">/assets/img/driving-results-400.jpg</t>
  </si>
  <si>
    <t xml:space="preserve">JPG</t>
  </si>
  <si>
    <t xml:space="preserve">/assets/img/driving-results-400.webp</t>
  </si>
  <si>
    <t xml:space="preserve">WEBP</t>
  </si>
  <si>
    <t xml:space="preserve">/assets/img/driving-results-690.avif</t>
  </si>
  <si>
    <t xml:space="preserve">/assets/img/driving-results-690.jpg</t>
  </si>
  <si>
    <t xml:space="preserve">/assets/img/driving-results-690.webp</t>
  </si>
  <si>
    <t xml:space="preserve">partner-yalepgc</t>
  </si>
  <si>
    <t xml:space="preserve">https://lendmaxcapital.ca/img/partner-yalepgc@2x.png</t>
  </si>
  <si>
    <t xml:space="preserve">Yale PGC LLP, Chartered Professional Accountants</t>
  </si>
  <si>
    <t xml:space="preserve">/, /performance-and-risk/, /how-to-invest/</t>
  </si>
  <si>
    <t xml:space="preserve">/assets/img/partner-yalepgc-40.png</t>
  </si>
  <si>
    <t xml:space="preserve">PNG</t>
  </si>
  <si>
    <t xml:space="preserve">/assets/img/partner-yalepgc-40.webp</t>
  </si>
  <si>
    <t xml:space="preserve">/assets/img/partner-yalepgc-80.png</t>
  </si>
  <si>
    <t xml:space="preserve">/assets/img/partner-yalepgc-80.webp</t>
  </si>
  <si>
    <t xml:space="preserve">partner-drake</t>
  </si>
  <si>
    <t xml:space="preserve">https://lendmaxcapital.ca/img/partner-drake@2x.png</t>
  </si>
  <si>
    <t xml:space="preserve">Drake Financial Ltd., exempt market dealer</t>
  </si>
  <si>
    <t xml:space="preserve">/assets/img/partner-drake-40.png</t>
  </si>
  <si>
    <t xml:space="preserve">/assets/img/partner-drake-40.webp</t>
  </si>
  <si>
    <t xml:space="preserve">/assets/img/partner-drake-80.png</t>
  </si>
  <si>
    <t xml:space="preserve">/assets/img/partner-drake-80.webp</t>
  </si>
  <si>
    <t xml:space="preserve">partner-olympia</t>
  </si>
  <si>
    <t xml:space="preserve">https://lendmaxcapital.ca/img/partner-olympia@2x.png</t>
  </si>
  <si>
    <t xml:space="preserve">Olympia Trust Company</t>
  </si>
  <si>
    <t xml:space="preserve">/assets/img/partner-olympia-40.png</t>
  </si>
  <si>
    <t xml:space="preserve">/assets/img/partner-olympia-40.webp</t>
  </si>
  <si>
    <t xml:space="preserve">/assets/img/partner-olympia-80.png</t>
  </si>
  <si>
    <t xml:space="preserve">/assets/img/partner-olympia-80.webp</t>
  </si>
  <si>
    <t xml:space="preserve">partner-westernpacific</t>
  </si>
  <si>
    <t xml:space="preserve">https://lendmaxcapital.ca/img/partner-westernpacific@2x.png</t>
  </si>
  <si>
    <t xml:space="preserve">Western Pacific Trust Company</t>
  </si>
  <si>
    <t xml:space="preserve">/assets/img/partner-westernpacific-40.png</t>
  </si>
  <si>
    <t xml:space="preserve">/assets/img/partner-westernpacific-40.webp</t>
  </si>
  <si>
    <t xml:space="preserve">/assets/img/partner-westernpacific-80.png</t>
  </si>
  <si>
    <t xml:space="preserve">/assets/img/partner-westernpacific-80.webp</t>
  </si>
  <si>
    <t xml:space="preserve">Share cards (og:image)</t>
  </si>
  <si>
    <t xml:space="preserve">Generated at build</t>
  </si>
  <si>
    <t xml:space="preserve">Page title on a navy card with the Lendmax logo</t>
  </si>
  <si>
    <t xml:space="preserve">Every page (97)</t>
  </si>
  <si>
    <t xml:space="preserve">/assets/og/&lt;page&gt;.png</t>
  </si>
  <si>
    <t xml:space="preserve">Resolves</t>
  </si>
  <si>
    <t xml:space="preserve">Note</t>
  </si>
  <si>
    <t xml:space="preserve">https://lautorite.qc.ca/en/general-public</t>
  </si>
  <si>
    <t xml:space="preserve">Check by hand</t>
  </si>
  <si>
    <t xml:space="preserve">site blocks automated requests from the server's data-centre address (403) or is unreachable from it; opens normally in a browser — check by hand</t>
  </si>
  <si>
    <t xml:space="preserve">https://laws-lois.justice.gc.ca/eng/acts/I-3.3/section-130.1.html</t>
  </si>
  <si>
    <t xml:space="preserve">https://laws-lois.justice.gc.ca/eng/acts/I-3.3/section-207.01.html</t>
  </si>
  <si>
    <t xml:space="preserve">https://laws-lois.justice.gc.ca/eng/regulations/C.R.C.,_c._945/section-4900.html</t>
  </si>
  <si>
    <t xml:space="preserve">https://lendmaxcapital.ca/investor-portal</t>
  </si>
  <si>
    <t xml:space="preserve">https://lendmaxcapital.ca/investors/past-performance</t>
  </si>
  <si>
    <t xml:space="preserve">https://lendmaxcapital.ca/investors/published-papers</t>
  </si>
  <si>
    <t xml:space="preserve">https://mbsweblist.fsco.gov.on.ca/ShowLicence.aspx?13398~</t>
  </si>
  <si>
    <t xml:space="preserve">https://www.albertasecurities.com/</t>
  </si>
  <si>
    <t xml:space="preserve">https://www.bcfsa.ca/industry-resources/mortgage-broker-resources/mortgage-services-act</t>
  </si>
  <si>
    <t xml:space="preserve">https://www.bcsc.bc.ca/</t>
  </si>
  <si>
    <t xml:space="preserve">https://www.canada.ca/en/revenue-agency.html</t>
  </si>
  <si>
    <t xml:space="preserve">timeout</t>
  </si>
  <si>
    <t xml:space="preserve">https://www.canada.ca/en/revenue-agency/services/tax/technical-information/income-tax/income-tax-folios-index/series-3-property-investments-savings-plans/folio-10-registered-plans-similar-arrangements/income-tax-folio-s3-f10-c2-prohibited-investments-rrsps-rrifs-rdsps-resps-tfsas-fhsas.html</t>
  </si>
  <si>
    <t xml:space="preserve">https://www.cdic.ca/</t>
  </si>
  <si>
    <t xml:space="preserve">https://www.cmhc-schl.gc.ca/professionals/housing-markets-data-and-research/housing-research/research-reports/housing-finance/residential-mortgage-industry-report</t>
  </si>
  <si>
    <t xml:space="preserve">https://www.fsrao.ca/</t>
  </si>
  <si>
    <t xml:space="preserve">https://www.getsmarteraboutmoney.ca/</t>
  </si>
  <si>
    <t xml:space="preserve">https://www.mbrcc.ca/</t>
  </si>
  <si>
    <t xml:space="preserve">https://www.ontario.ca/laws/statute/06m29</t>
  </si>
  <si>
    <t xml:space="preserve">https://www.ontario.ca/laws/statute/90m40</t>
  </si>
  <si>
    <t xml:space="preserve">https://www.osc.ca/en/investors</t>
  </si>
  <si>
    <t xml:space="preserve">https://www.osc.ca/en/securities-law/instruments-rules-policies/4/45-106</t>
  </si>
  <si>
    <t xml:space="preserve">https://www.reca.ca/</t>
  </si>
  <si>
    <t xml:space="preserve">https://www.securities-administrators.ca/</t>
  </si>
  <si>
    <t xml:space="preserve">https://www.securities-administrators.ca/investor-tools/check-registration-disciplinary-history/</t>
  </si>
  <si>
    <t xml:space="preserve">Checked 3 October 2026, from the lmcmic.ca server, after launch.</t>
  </si>
  <si>
    <t xml:space="preserve">Area</t>
  </si>
  <si>
    <t xml:space="preserve">Item</t>
  </si>
  <si>
    <t xml:space="preserve">Setting on lmcmic.ca</t>
  </si>
  <si>
    <t xml:space="preserve">Domain</t>
  </si>
  <si>
    <t xml:space="preserve">Canonical origin</t>
  </si>
  <si>
    <t xml:space="preserve">https://lmcmic.ca (no www, HTTPS, trailing-slash URLs)</t>
  </si>
  <si>
    <t xml:space="preserve">Live</t>
  </si>
  <si>
    <t xml:space="preserve">Every other form 301s to it in one hop — see Redirects.</t>
  </si>
  <si>
    <t xml:space="preserve">DNS</t>
  </si>
  <si>
    <t xml:space="preserve">A lmcmic.ca → 159.203.33.160; www → CNAME lmcmic.ca (Cloudflare, DNS only)</t>
  </si>
  <si>
    <t xml:space="preserve">Checked 2026-10-12.</t>
  </si>
  <si>
    <t xml:space="preserve">TLS certificate</t>
  </si>
  <si>
    <t xml:space="preserve">Let's Encrypt for lmcmic.ca, www.lmcmic.ca, expires 2027-01-01</t>
  </si>
  <si>
    <t xml:space="preserve">Renews automatically (certbot timer (automatic)). HSTS max-age one year.</t>
  </si>
  <si>
    <t xml:space="preserve">Hosting</t>
  </si>
  <si>
    <t xml:space="preserve">Server</t>
  </si>
  <si>
    <t xml:space="preserve">Lendmax server 159.203.33.160, nginx; static site + lead service</t>
  </si>
  <si>
    <t xml:space="preserve">Release 20261003-162939. Registered as site 'lmcmic' in the server's site tools.</t>
  </si>
  <si>
    <t xml:space="preserve">Crawling</t>
  </si>
  <si>
    <t xml:space="preserve">XML sitemap</t>
  </si>
  <si>
    <t xml:space="preserve">https://lmcmic.ca/sitemap.xml</t>
  </si>
  <si>
    <t xml:space="preserve">97 URLs, lastmod on each, video entry on the home page, image entries for the photo pages.</t>
  </si>
  <si>
    <t xml:space="preserve">robots.txt</t>
  </si>
  <si>
    <t xml:space="preserve">Allow all; Disallow /api/; Sitemap line</t>
  </si>
  <si>
    <t xml:space="preserve">llms.txt</t>
  </si>
  <si>
    <t xml:space="preserve">https://lmcmic.ca/llms.txt</t>
  </si>
  <si>
    <t xml:space="preserve">Plain map of the site for AI answer engines.</t>
  </si>
  <si>
    <t xml:space="preserve">404 page</t>
  </si>
  <si>
    <t xml:space="preserve">Custom 404 with links to key pages; noindex</t>
  </si>
  <si>
    <t xml:space="preserve">404s in the access log are automated vulnerability scanners requesting files such as /.env and /.aws/credentials, many with a forged Googlebot user agent. No legitimate page URL is returning 404.</t>
  </si>
  <si>
    <t xml:space="preserve">Googlebot</t>
  </si>
  <si>
    <t xml:space="preserve">22 successful fetches in today's log</t>
  </si>
  <si>
    <t xml:space="preserve">Verified crawls return 200.</t>
  </si>
  <si>
    <t xml:space="preserve">Indexing</t>
  </si>
  <si>
    <t xml:space="preserve">Canonical tags</t>
  </si>
  <si>
    <t xml:space="preserve">Self-referencing rel=canonical on every page</t>
  </si>
  <si>
    <t xml:space="preserve">See Pages, column Q.</t>
  </si>
  <si>
    <t xml:space="preserve">hreflang</t>
  </si>
  <si>
    <t xml:space="preserve">en-ca + x-default (self)</t>
  </si>
  <si>
    <t xml:space="preserve">Robots meta</t>
  </si>
  <si>
    <t xml:space="preserve">index, follow, max-image-preview:large, max-snippet:-1</t>
  </si>
  <si>
    <t xml:space="preserve">404 is noindex.</t>
  </si>
  <si>
    <t xml:space="preserve">Verification</t>
  </si>
  <si>
    <t xml:space="preserve">Meta tag on every page + DNS TXT google-site-verification</t>
  </si>
  <si>
    <t xml:space="preserve">TXT records present: 8OZ3VA1aZR…, 9yPV68WVfj….</t>
  </si>
  <si>
    <t xml:space="preserve">Sitemap submitted</t>
  </si>
  <si>
    <t xml:space="preserve">Submit https://lmcmic.ca/sitemap.xml under Sitemaps</t>
  </si>
  <si>
    <t xml:space="preserve">To confirm</t>
  </si>
  <si>
    <t xml:space="preserve">Confirm in Search Console that it shows 'Success' and 97 discovered URLs.</t>
  </si>
  <si>
    <t xml:space="preserve">Analytics</t>
  </si>
  <si>
    <t xml:space="preserve">Google Analytics 4</t>
  </si>
  <si>
    <t xml:space="preserve">Measurement ID G-LH6HY77BEY (property 255904887)</t>
  </si>
  <si>
    <t xml:space="preserve">Loaded from site.js so the security policy still blocks inline script. Form submits send generate_lead.</t>
  </si>
  <si>
    <t xml:space="preserve">Structured data</t>
  </si>
  <si>
    <t xml:space="preserve">Types in use</t>
  </si>
  <si>
    <t xml:space="preserve">Article, BreadcrumbList, CollectionPage, ContactPage, DefinedTermSet, FAQPage, FinancialService, HowTo, Organization, VideoObject, WebApplication, WebSite</t>
  </si>
  <si>
    <t xml:space="preserve">Only marks up what the page shows.</t>
  </si>
  <si>
    <t xml:space="preserve">Performance</t>
  </si>
  <si>
    <t xml:space="preserve">CSS / JS</t>
  </si>
  <si>
    <t xml:space="preserve">Tailwind compiled at build (~40 KB), one deferred script, no CDN script</t>
  </si>
  <si>
    <t xml:space="preserve">Icons</t>
  </si>
  <si>
    <t xml:space="preserve">Material Symbols subset to the glyphs used; fixed 1em box (no layout shift)</t>
  </si>
  <si>
    <t xml:space="preserve">AVIF / WebP / JPEG with srcset, width/height, lazy loading</t>
  </si>
  <si>
    <t xml:space="preserve">See Images.</t>
  </si>
  <si>
    <t xml:space="preserve">Video</t>
  </si>
  <si>
    <t xml:space="preserve">YouTube loads only on click (facade); VideoObject uploadDate 2021-12-31</t>
  </si>
  <si>
    <t xml:space="preserve">Security</t>
  </si>
  <si>
    <t xml:space="preserve">Headers</t>
  </si>
  <si>
    <t xml:space="preserve">HSTS, CSP (no inline script), X-Frame-Options DENY, nosniff, Referrer-Policy, Permissions-Policy</t>
  </si>
  <si>
    <t xml:space="preserve">Leads</t>
  </si>
  <si>
    <t xml:space="preserve">Contact form</t>
  </si>
  <si>
    <t xml:space="preserve">POST /api/lead → stored → email deals@lendmaxcapital.ca → redirect https://app.lendmaxcapital.ca/investor-start</t>
  </si>
  <si>
    <t xml:space="preserve">Email via FormSubmit (activated). For sending from your own domain, add a Resend/Postmark/SendGrid key.</t>
  </si>
  <si>
    <t xml:space="preserve">Email DNS</t>
  </si>
  <si>
    <t xml:space="preserve">SPF</t>
  </si>
  <si>
    <t xml:space="preserve">v=spf1 a mx ~all</t>
  </si>
  <si>
    <t xml:space="preserve">Single SPF record (duplicate removed).</t>
  </si>
  <si>
    <t xml:space="preserve">Content</t>
  </si>
  <si>
    <t xml:space="preserve">Legal review</t>
  </si>
  <si>
    <t xml:space="preserve">Legal and regulatory review completed by Lendmax Capital and confirmed to the site build on 3 October 2026.</t>
  </si>
  <si>
    <t xml:space="preserve">Done</t>
  </si>
  <si>
    <t xml:space="preserve">Shown in every article byline.</t>
  </si>
  <si>
    <t xml:space="preserve">Next scheduled review</t>
  </si>
  <si>
    <t xml:space="preserve">January 2027</t>
  </si>
  <si>
    <t xml:space="preserve">Scheduled</t>
  </si>
  <si>
    <t xml:space="preserve">Returns figures and regulatory pages: review quarterly (Tab 3 L14).</t>
  </si>
  <si>
    <t xml:space="preserve">Section</t>
  </si>
  <si>
    <t xml:space="preserve">Requirement</t>
  </si>
  <si>
    <t xml:space="preserve">What good looks like</t>
  </si>
  <si>
    <t xml:space="preserve">Owner</t>
  </si>
  <si>
    <t xml:space="preserve">Status on lmcmic.ca</t>
  </si>
  <si>
    <t xml:space="preserve">How lmcmic.ca applies it</t>
  </si>
  <si>
    <t xml:space="preserve">A. Research first — before a word is written</t>
  </si>
  <si>
    <t xml:space="preserve">1</t>
  </si>
  <si>
    <t xml:space="preserve">Identify the primary search intent.</t>
  </si>
  <si>
    <t xml:space="preserve">One sentence naming what the searcher wants: to understand, to compare, to assess risk, or to act. Written at the top of the brief, not inferred later.</t>
  </si>
  <si>
    <t xml:space="preserve">Writer</t>
  </si>
  <si>
    <t xml:space="preserve">Applied</t>
  </si>
  <si>
    <t xml:space="preserve">Keywords, intent and verification notes come from the workbook per article (plan.json); primary statutes and regulator pages were fetched and checked on 3 Oct 2026; legal review completed 3 Oct 2026.</t>
  </si>
  <si>
    <t xml:space="preserve">2</t>
  </si>
  <si>
    <t xml:space="preserve">Select one primary keyword and appropriate secondary / semantic keywords from Tab 1.</t>
  </si>
  <si>
    <t xml:space="preserve">Exactly one primary. Three to six secondaries drawn from the same Tab 1 cluster. One long-tail question phrased the way investors actually phrase it.</t>
  </si>
  <si>
    <t xml:space="preserve">SEO lead</t>
  </si>
  <si>
    <t xml:space="preserve">3</t>
  </si>
  <si>
    <t xml:space="preserve">Research current Canadian information from authoritative sources.</t>
  </si>
  <si>
    <t xml:space="preserve">Regulator sites, statutes, CMHC and provincial regulator reports, CRA. Not competitor blog posts, and not the model's own recall.</t>
  </si>
  <si>
    <t xml:space="preserve">4</t>
  </si>
  <si>
    <t xml:space="preserve">Verify rates, regulations, taxation and other time-sensitive information before publication.</t>
  </si>
  <si>
    <t xml:space="preserve">Every such claim traced to its own primary source on the day of writing. Regulator names and statute titles checked against the regulator's own page.</t>
  </si>
  <si>
    <t xml:space="preserve">5</t>
  </si>
  <si>
    <t xml:space="preserve">Cite authoritative sources.</t>
  </si>
  <si>
    <t xml:space="preserve">Inline attribution a reader can follow, plus a source list. Statute sections cited by number.</t>
  </si>
  <si>
    <t xml:space="preserve">6</t>
  </si>
  <si>
    <t xml:space="preserve">State the date or period applicable to time-sensitive statistics.</t>
  </si>
  <si>
    <t xml:space="preserve">"As at Q3 2025" or "for the 2024 calendar year", beside the figure — not only in a footer.</t>
  </si>
  <si>
    <t xml:space="preserve">Editor</t>
  </si>
  <si>
    <t xml:space="preserve">B. Structure and on-page</t>
  </si>
  <si>
    <t xml:space="preserve">7</t>
  </si>
  <si>
    <t xml:space="preserve">Answer the primary search question early.</t>
  </si>
  <si>
    <t xml:space="preserve">A direct answer inside the first 120 words, before any context or background. If the honest answer is 'it depends', say what it depends on immediately.</t>
  </si>
  <si>
    <t xml:space="preserve">Short-answer box first (QA K1); one H1 with the primary keyword (97/97 pages); question-led H2s, no heading jumps (QA K2); terms defined at first use and linked to the 121-term glossary.</t>
  </si>
  <si>
    <t xml:space="preserve">8</t>
  </si>
  <si>
    <t xml:space="preserve">Use a clear H1.</t>
  </si>
  <si>
    <t xml:space="preserve">One H1 per page, containing the primary keyword, readable as a human sentence rather than a keyword string.</t>
  </si>
  <si>
    <t xml:space="preserve">9</t>
  </si>
  <si>
    <t xml:space="preserve">Create logically structured H2 and H3 sections.</t>
  </si>
  <si>
    <t xml:space="preserve">H2s that each answer a distinct question and make sense read in isolation. No heading-level jumps.</t>
  </si>
  <si>
    <t xml:space="preserve">10</t>
  </si>
  <si>
    <t xml:space="preserve">Use the primary keyword naturally in the title, introduction and relevant headings.</t>
  </si>
  <si>
    <t xml:space="preserve">Present where it belongs and absent where it would read oddly. Natural variants count.</t>
  </si>
  <si>
    <t xml:space="preserve">11</t>
  </si>
  <si>
    <t xml:space="preserve">Avoid keyword stuffing.</t>
  </si>
  <si>
    <t xml:space="preserve">No repetition that a careful human writer would not have produced.</t>
  </si>
  <si>
    <t xml:space="preserve">12</t>
  </si>
  <si>
    <t xml:space="preserve">Write naturally for both humans and AI / search engines.</t>
  </si>
  <si>
    <t xml:space="preserve">Plain declarative sentences. Self-contained passages. No padding written to hit a length.</t>
  </si>
  <si>
    <t xml:space="preserve">13</t>
  </si>
  <si>
    <t xml:space="preserve">Define technical mortgage terminology.</t>
  </si>
  <si>
    <t xml:space="preserve">Every term defined at first use in one clause, and linked to the glossary. Use Canadian register: 'first mortgage' and 'first position', not the UK 'first charge'.</t>
  </si>
  <si>
    <t xml:space="preserve">14</t>
  </si>
  <si>
    <t xml:space="preserve">Explain who, what, where, when, why and how.</t>
  </si>
  <si>
    <t xml:space="preserve">All six answered somewhere in the article, not necessarily as headings.</t>
  </si>
  <si>
    <t xml:space="preserve">C. Substance, examples and numbers</t>
  </si>
  <si>
    <t xml:space="preserve">15</t>
  </si>
  <si>
    <t xml:space="preserve">Include practical examples.</t>
  </si>
  <si>
    <t xml:space="preserve">A realistic Canadian scenario with a property, a position, an LTV and a term. Clearly labelled as illustrative.</t>
  </si>
  <si>
    <t xml:space="preserve">Worked examples, comparison tables, two calculators, due-diligence checklists, common-mistakes and province sections; FAQs from the workbook's conversational keywords; 3–8 internal links per article (QA K11) and allow-listed external sources.</t>
  </si>
  <si>
    <t xml:space="preserve">16</t>
  </si>
  <si>
    <t xml:space="preserve">Include numerical examples where appropriate.</t>
  </si>
  <si>
    <t xml:space="preserve">Round, plainly-stated numbers whose arithmetic the reader can follow and check.</t>
  </si>
  <si>
    <t xml:space="preserve">17</t>
  </si>
  <si>
    <t xml:space="preserve">Include comparison tables where useful.</t>
  </si>
  <si>
    <t xml:space="preserve">Real differentiating dimensions, both columns filled honestly, no column engineered to win.</t>
  </si>
  <si>
    <t xml:space="preserve">18</t>
  </si>
  <si>
    <t xml:space="preserve">Include calculation examples for interest, LTV, returns and cash flow where appropriate.</t>
  </si>
  <si>
    <t xml:space="preserve">The calculation shown step by step, including the deductions most sources omit — fees, then tax.</t>
  </si>
  <si>
    <t xml:space="preserve">19</t>
  </si>
  <si>
    <t xml:space="preserve">Explain both potential benefits and material risks.</t>
  </si>
  <si>
    <t xml:space="preserve">Risk given comparable space and prominence to benefit, in the same voice — not quarantined in a closing paragraph.</t>
  </si>
  <si>
    <t xml:space="preserve">Reviewer (compliance)</t>
  </si>
  <si>
    <t xml:space="preserve">20</t>
  </si>
  <si>
    <t xml:space="preserve">Include an investor due-diligence checklist where appropriate.</t>
  </si>
  <si>
    <t xml:space="preserve">Specific, checkable items naming the document or figure to look at, not general encouragement to 'do your research'.</t>
  </si>
  <si>
    <t xml:space="preserve">21</t>
  </si>
  <si>
    <t xml:space="preserve">Address common investor mistakes.</t>
  </si>
  <si>
    <t xml:space="preserve">Mistakes grounded in observed investor questions and real sector failures, not invented for symmetry.</t>
  </si>
  <si>
    <t xml:space="preserve">22</t>
  </si>
  <si>
    <t xml:space="preserve">Include FAQs based on genuine search questions.</t>
  </si>
  <si>
    <t xml:space="preserve">Questions taken from Tab 1's conversational block — real investor phrasing, not tidied-up marketing questions.</t>
  </si>
  <si>
    <t xml:space="preserve">23</t>
  </si>
  <si>
    <t xml:space="preserve">Incorporate relevant province-specific information.</t>
  </si>
  <si>
    <t xml:space="preserve">Named provinces with their own regulator, statute and enforcement route. Never one province's rule generalised to Canada.</t>
  </si>
  <si>
    <t xml:space="preserve">24</t>
  </si>
  <si>
    <t xml:space="preserve">Link internally to related educational content.</t>
  </si>
  <si>
    <t xml:space="preserve">Three to eight contextual links using descriptive anchors, following the Tab 2 link plan in both directions.</t>
  </si>
  <si>
    <t xml:space="preserve">25</t>
  </si>
  <si>
    <t xml:space="preserve">Link to or cite authoritative external sources where appropriate.</t>
  </si>
  <si>
    <t xml:space="preserve">Regulators, statutes, CRA, CMHC. Not competitors, and not content farms.</t>
  </si>
  <si>
    <t xml:space="preserve">D. Integrity, attribution and compliance</t>
  </si>
  <si>
    <t xml:space="preserve">26</t>
  </si>
  <si>
    <t xml:space="preserve">Include expert commentary only when attributable to an identifiable, credible source.</t>
  </si>
  <si>
    <t xml:space="preserve">A named person with a stated role who actually said it, or no quotation at all.</t>
  </si>
  <si>
    <t xml:space="preserve">No unverified statistics (design figures replaced by the fund's published returns); prohibited-language scan clean on every page; disclosures in the body (QA K8); legal review completed.</t>
  </si>
  <si>
    <t xml:space="preserve">27</t>
  </si>
  <si>
    <t xml:space="preserve">Separate factual information from opinion.</t>
  </si>
  <si>
    <t xml:space="preserve">Fact stated plainly with its source; judgement signalled as judgement.</t>
  </si>
  <si>
    <t xml:space="preserve">28</t>
  </si>
  <si>
    <t xml:space="preserve">Never manufacture quotations, statistics, returns or expert opinions.</t>
  </si>
  <si>
    <t xml:space="preserve">Absolute. A gap is left visible, or the claim is cut. An invented figure that looks plausible is worse than no figure.</t>
  </si>
  <si>
    <t xml:space="preserve">29</t>
  </si>
  <si>
    <t xml:space="preserve">Never describe returns, principal or income as guaranteed unless legally and factually guaranteed.</t>
  </si>
  <si>
    <t xml:space="preserve">In this asset class, nothing is. 'Target', 'historical' and 'not guaranteed' are the available words.</t>
  </si>
  <si>
    <t xml:space="preserve">30</t>
  </si>
  <si>
    <t xml:space="preserve">Explain that higher potential returns generally involve additional risk.</t>
  </si>
  <si>
    <t xml:space="preserve">Stated where the yield is discussed, not only in a closing disclaimer.</t>
  </si>
  <si>
    <t xml:space="preserve">31</t>
  </si>
  <si>
    <t xml:space="preserve">Include appropriate investment / risk disclosures.</t>
  </si>
  <si>
    <t xml:space="preserve">The disclosure set from section H, matched to the article type, in the body where it is relevant.</t>
  </si>
  <si>
    <t xml:space="preserve">32</t>
  </si>
  <si>
    <t xml:space="preserve">Review the article for regulatory and factual accuracy before publication.</t>
  </si>
  <si>
    <t xml:space="preserve">A second reader with the sources open. Tax and regulatory pages additionally reviewed by a qualified professional.</t>
  </si>
  <si>
    <t xml:space="preserve">Legal / licensed reviewer</t>
  </si>
  <si>
    <t xml:space="preserve">E. Google and AI answer-engine format</t>
  </si>
  <si>
    <t xml:space="preserve">E1</t>
  </si>
  <si>
    <t xml:space="preserve">Direct question-and-answer sections</t>
  </si>
  <si>
    <t xml:space="preserve">H2 phrased as the investor's actual question, answered in the first two sentences beneath it.</t>
  </si>
  <si>
    <t xml:space="preserve">Q&amp;A headings, opening definitions, numbered steps (HowTo), tables, FAQs (FAQPage schema), worked examples, key takeaways, sourced citations, descriptive internal anchors, schema that matches visible content.</t>
  </si>
  <si>
    <t xml:space="preserve">E2</t>
  </si>
  <si>
    <t xml:space="preserve">Concise definitions</t>
  </si>
  <si>
    <t xml:space="preserve">A one-sentence definition of the page's core entity, positioned early and quotable without surrounding context.</t>
  </si>
  <si>
    <t xml:space="preserve">E3</t>
  </si>
  <si>
    <t xml:space="preserve">Descriptive headings</t>
  </si>
  <si>
    <t xml:space="preserve">Headings that state their content. Never 'Overview', 'Introduction', 'Key considerations' or 'Final thoughts'.</t>
  </si>
  <si>
    <t xml:space="preserve">E4</t>
  </si>
  <si>
    <t xml:space="preserve">Numbered processes</t>
  </si>
  <si>
    <t xml:space="preserve">Sequential steps numbered, each step beginning with a verb.</t>
  </si>
  <si>
    <t xml:space="preserve">E5</t>
  </si>
  <si>
    <t xml:space="preserve">Bullet points where useful</t>
  </si>
  <si>
    <t xml:space="preserve">Only for genuinely parallel items. Prose for reasoning and explanation.</t>
  </si>
  <si>
    <t xml:space="preserve">E6</t>
  </si>
  <si>
    <t xml:space="preserve">Comparison tables</t>
  </si>
  <si>
    <t xml:space="preserve">Labelled columns, a stated basis of comparison, no empty cells.</t>
  </si>
  <si>
    <t xml:space="preserve">E7</t>
  </si>
  <si>
    <t xml:space="preserve">FAQ sections</t>
  </si>
  <si>
    <t xml:space="preserve">Real investor phrasing from Tab 1, each answer self-contained in two to four sentences.</t>
  </si>
  <si>
    <t xml:space="preserve">E8</t>
  </si>
  <si>
    <t xml:space="preserve">Worked examples</t>
  </si>
  <si>
    <t xml:space="preserve">Inputs stated, arithmetic shown, result labelled illustrative.</t>
  </si>
  <si>
    <t xml:space="preserve">E9</t>
  </si>
  <si>
    <t xml:space="preserve">Key takeaways</t>
  </si>
  <si>
    <t xml:space="preserve">Three to five sentences that hold up if lifted out of the page entirely.</t>
  </si>
  <si>
    <t xml:space="preserve">E10</t>
  </si>
  <si>
    <t xml:space="preserve">Original calculations and data where appropriate</t>
  </si>
  <si>
    <t xml:space="preserve">The site's own worked figures and charts — the most defensible reason for an answer engine to cite this page rather than a competitor.</t>
  </si>
  <si>
    <t xml:space="preserve">E11</t>
  </si>
  <si>
    <t xml:space="preserve">Clear citations and source attribution</t>
  </si>
  <si>
    <t xml:space="preserve">Source named in the sentence, not hidden behind an unlabelled link.</t>
  </si>
  <si>
    <t xml:space="preserve">E12</t>
  </si>
  <si>
    <t xml:space="preserve">Relevant internal links</t>
  </si>
  <si>
    <t xml:space="preserve">Descriptive anchors that tell the reader where they are going.</t>
  </si>
  <si>
    <t xml:space="preserve">E13</t>
  </si>
  <si>
    <t xml:space="preserve">Do not write for keyword density</t>
  </si>
  <si>
    <t xml:space="preserve">If a sentence exists to carry a keyword, cut it.</t>
  </si>
  <si>
    <t xml:space="preserve">E14</t>
  </si>
  <si>
    <t xml:space="preserve">Article or FAQPage schema matching the visible content exactly. Never mark up an FAQ the page does not display.</t>
  </si>
  <si>
    <t xml:space="preserve">F. The ten elements every article must establish</t>
  </si>
  <si>
    <t xml:space="preserve">F1</t>
  </si>
  <si>
    <t xml:space="preserve">Entity: What investment or product is being discussed? Name it precisely, and distinguish it from adjacent structures.</t>
  </si>
  <si>
    <t xml:space="preserve">Explicitly addressed in the body. A reader should not have to infer any of the ten.</t>
  </si>
  <si>
    <t xml:space="preserve">The ten elements are required by the writing brief; spot-checked on cornerstone articles.</t>
  </si>
  <si>
    <t xml:space="preserve">F2</t>
  </si>
  <si>
    <t xml:space="preserve">Audience: Who is considering it? State the circumstances, without implying suitability for the reader.</t>
  </si>
  <si>
    <t xml:space="preserve">F3</t>
  </si>
  <si>
    <t xml:space="preserve">Problem: What investor question does this answer? It should be recognisable as a question a real person asked.</t>
  </si>
  <si>
    <t xml:space="preserve">F4</t>
  </si>
  <si>
    <t xml:space="preserve">Mechanism: How does the mortgage investment work? Money in, security registered, payments out, capital returned.</t>
  </si>
  <si>
    <t xml:space="preserve">F5</t>
  </si>
  <si>
    <t xml:space="preserve">Economics: Where can income and return come from? Interest, lender fees, renewal fees — and what each is reduced by.</t>
  </si>
  <si>
    <t xml:space="preserve">F6</t>
  </si>
  <si>
    <t xml:space="preserve">Security: What collateral supports the mortgage? Property type, position, LTV, registration, insurance.</t>
  </si>
  <si>
    <t xml:space="preserve">F7</t>
  </si>
  <si>
    <t xml:space="preserve">Risk: What can go wrong? Default, value decline, illiquidity, rate moves, concentration, enforcement cost, structural failure.</t>
  </si>
  <si>
    <t xml:space="preserve">F8</t>
  </si>
  <si>
    <t xml:space="preserve">Due diligence: What should an investor investigate, and in which document would they find it?</t>
  </si>
  <si>
    <t xml:space="preserve">F9</t>
  </si>
  <si>
    <t xml:space="preserve">Comparison: How does this differ from the relevant alternatives, stated fairly in both directions?</t>
  </si>
  <si>
    <t xml:space="preserve">F10</t>
  </si>
  <si>
    <t xml:space="preserve">Next step: Where can the investor obtain professional information about an actual opportunity?</t>
  </si>
  <si>
    <t xml:space="preserve">G. Required featured-image specification</t>
  </si>
  <si>
    <t xml:space="preserve">G1</t>
  </si>
  <si>
    <t xml:space="preserve">Image concept</t>
  </si>
  <si>
    <t xml:space="preserve">One sentence on what the image shows and why it belongs to this article specifically.</t>
  </si>
  <si>
    <t xml:space="preserve">lendmaxcapital.ca has one photograph and four partner logos, used on core pages as AVIF/WebP/JPEG with alt text, dimensions and lazy loading. Articles use generated 1200×630 title cards until more photography is supplied (Tab 2 image specs kept in plan.json).</t>
  </si>
  <si>
    <t xml:space="preserve">G2</t>
  </si>
  <si>
    <t xml:space="preserve">Subject</t>
  </si>
  <si>
    <t xml:space="preserve">The literal primary subject — a document, a property, a construction site, a chart, a person reviewing a statement.</t>
  </si>
  <si>
    <t xml:space="preserve">G3</t>
  </si>
  <si>
    <t xml:space="preserve">Setting</t>
  </si>
  <si>
    <t xml:space="preserve">A recognisably Canadian, ordinary, professional setting. Not a glass-tower skyline.</t>
  </si>
  <si>
    <t xml:space="preserve">G4</t>
  </si>
  <si>
    <t xml:space="preserve">People and objects shown</t>
  </si>
  <si>
    <t xml:space="preserve">Named explicitly, including when the answer is 'no people'. Faces not the focal point.</t>
  </si>
  <si>
    <t xml:space="preserve">G5</t>
  </si>
  <si>
    <t xml:space="preserve">Composition</t>
  </si>
  <si>
    <t xml:space="preserve">Framing, angle, depth of field, and where the negative space for a title overlay sits.</t>
  </si>
  <si>
    <t xml:space="preserve">G6</t>
  </si>
  <si>
    <t xml:space="preserve">Aspect ratio</t>
  </si>
  <si>
    <t xml:space="preserve">16:9 for featured images; 4:3 where a portrait subject needs it. Stated for every image.</t>
  </si>
  <si>
    <t xml:space="preserve">G7</t>
  </si>
  <si>
    <t xml:space="preserve">Suggested alt text</t>
  </si>
  <si>
    <t xml:space="preserve">Describes the image for someone who cannot see it. Not a keyword dump. Under 125 characters.</t>
  </si>
  <si>
    <t xml:space="preserve">G8</t>
  </si>
  <si>
    <t xml:space="preserve">Suggested filename</t>
  </si>
  <si>
    <t xml:space="preserve">Lowercase, hyphenated, descriptive, no dates, no camera codes.</t>
  </si>
  <si>
    <t xml:space="preserve">G9</t>
  </si>
  <si>
    <t xml:space="preserve">Relationship between the visual and the article's search intent</t>
  </si>
  <si>
    <t xml:space="preserve">One sentence explaining why this image suits this searcher. If it cannot be written, the image is wrong.</t>
  </si>
  <si>
    <t xml:space="preserve">G10</t>
  </si>
  <si>
    <t xml:space="preserve">Credibility standard</t>
  </si>
  <si>
    <t xml:space="preserve">Professional, Canadian, financially credible. Ordinary housing stock and real paperwork over aspirational styling.</t>
  </si>
  <si>
    <t xml:space="preserve">G11</t>
  </si>
  <si>
    <t xml:space="preserve">Prohibited imagery</t>
  </si>
  <si>
    <t xml:space="preserve">No cash piles, gold coins, rising-arrow graphics, luxury goods, handshake-over-skyline stock, or any on-image text implying a guaranteed return.</t>
  </si>
  <si>
    <t xml:space="preserve">G12</t>
  </si>
  <si>
    <t xml:space="preserve">Technical delivery</t>
  </si>
  <si>
    <t xml:space="preserve">WebP with a JPEG fallback, under 200KB, lazy-loaded below the fold, explicit width and height to prevent layout shift.</t>
  </si>
  <si>
    <t xml:space="preserve">H. Required disclosure library</t>
  </si>
  <si>
    <t xml:space="preserve">No-guarantee statement</t>
  </si>
  <si>
    <t xml:space="preserve">"Mortgage investments are not guaranteed. Returns are targets, not promises, and principal can be lost." Required on every article discussing return.</t>
  </si>
  <si>
    <t xml:space="preserve">Disclosure box on every article plus in-body statements: no guarantee, no CDIC insurance, loss of principal, liquidity, not advice, no suitability, past performance, tax date, regulatory currency, higher return / higher risk.</t>
  </si>
  <si>
    <t xml:space="preserve">H2</t>
  </si>
  <si>
    <t xml:space="preserve">No deposit insurance</t>
  </si>
  <si>
    <t xml:space="preserve">Where a GIC, savings account or deposit product is named, state plainly that mortgage investments carry no CDIC or provincial deposit insurance.</t>
  </si>
  <si>
    <t xml:space="preserve">H3</t>
  </si>
  <si>
    <t xml:space="preserve">Loss of principal</t>
  </si>
  <si>
    <t xml:space="preserve">Stated in the body, not only in a footer, wherever capital preservation or security is discussed.</t>
  </si>
  <si>
    <t xml:space="preserve">H4</t>
  </si>
  <si>
    <t xml:space="preserve">Liquidity limitation</t>
  </si>
  <si>
    <t xml:space="preserve">Redemption terms, notice periods, and the possibility of delay, gating or suspension.</t>
  </si>
  <si>
    <t xml:space="preserve">H5</t>
  </si>
  <si>
    <t xml:space="preserve">Not investment advice</t>
  </si>
  <si>
    <t xml:space="preserve">Educational purpose stated; reader directed to their own qualified advisers.</t>
  </si>
  <si>
    <t xml:space="preserve">H6</t>
  </si>
  <si>
    <t xml:space="preserve">No suitability implication</t>
  </si>
  <si>
    <t xml:space="preserve">Who might consider a structure, never who should invest. No reader-specific recommendation anywhere.</t>
  </si>
  <si>
    <t xml:space="preserve">H7</t>
  </si>
  <si>
    <t xml:space="preserve">Past performance</t>
  </si>
  <si>
    <t xml:space="preserve">Any historical figure carries its period and a statement that it does not indicate future results.</t>
  </si>
  <si>
    <t xml:space="preserve">H8</t>
  </si>
  <si>
    <t xml:space="preserve">Tax disclaimer and date</t>
  </si>
  <si>
    <t xml:space="preserve">Tax content dated and marked for professional review; reader directed to a Canadian tax professional.</t>
  </si>
  <si>
    <t xml:space="preserve">H9</t>
  </si>
  <si>
    <t xml:space="preserve">Regulatory currency</t>
  </si>
  <si>
    <t xml:space="preserve">"Current as of [date]" on every regulatory page, with a scheduled review.</t>
  </si>
  <si>
    <t xml:space="preserve">H10</t>
  </si>
  <si>
    <t xml:space="preserve">Higher return means higher risk</t>
  </si>
  <si>
    <t xml:space="preserve">Stated adjacent to any yield discussion, not deferred to a disclaimer.</t>
  </si>
  <si>
    <t xml:space="preserve">I. Prohibited language — automated pre-publish scan</t>
  </si>
  <si>
    <t xml:space="preserve">I1</t>
  </si>
  <si>
    <t xml:space="preserve">guaranteed / guarantee / assured / risk-free / no risk</t>
  </si>
  <si>
    <t xml:space="preserve">Never, in any form, about return, income or principal.</t>
  </si>
  <si>
    <t xml:space="preserve">Automated scan of all pages is clean. I8: partner names and logos appear at the client's request, as already published on lendmaxcapital.ca.</t>
  </si>
  <si>
    <t xml:space="preserve">I2</t>
  </si>
  <si>
    <t xml:space="preserve">safe / secure investment / principal protected</t>
  </si>
  <si>
    <t xml:space="preserve">Not as a characterisation of the investment. 'Secured by real property' is a factual statement about collateral and is acceptable.</t>
  </si>
  <si>
    <t xml:space="preserve">I3</t>
  </si>
  <si>
    <t xml:space="preserve">like a GIC / GIC alternative with no downside / as safe as a deposit</t>
  </si>
  <si>
    <t xml:space="preserve">Never. Any GIC comparison must state the deposit-insurance difference.</t>
  </si>
  <si>
    <t xml:space="preserve">I4</t>
  </si>
  <si>
    <t xml:space="preserve">best / top / safest / highest-returning private lender</t>
  </si>
  <si>
    <t xml:space="preserve">No superlative or comparative self-claim.</t>
  </si>
  <si>
    <t xml:space="preserve">I5</t>
  </si>
  <si>
    <t xml:space="preserve">you should invest / ideal for you / perfect for your portfolio</t>
  </si>
  <si>
    <t xml:space="preserve">No suitability claim or second-person recommendation.</t>
  </si>
  <si>
    <t xml:space="preserve">I6</t>
  </si>
  <si>
    <t xml:space="preserve">passive income with no risk / set and forget / hands-off and safe</t>
  </si>
  <si>
    <t xml:space="preserve">'Passive' describes effort, never risk.</t>
  </si>
  <si>
    <t xml:space="preserve">I7</t>
  </si>
  <si>
    <t xml:space="preserve">Specific rate or return figures as a promise</t>
  </si>
  <si>
    <t xml:space="preserve">Publish programme structure and mechanics. Any figure must be historical, dated, sourced and caveated.</t>
  </si>
  <si>
    <t xml:space="preserve">I8</t>
  </si>
  <si>
    <t xml:space="preserve">Wholesale supplier, funder and counterparty names</t>
  </si>
  <si>
    <t xml:space="preserve">Never named in public content. Internal terminology stays internal.</t>
  </si>
  <si>
    <t xml:space="preserve">I9</t>
  </si>
  <si>
    <t xml:space="preserve">Manufactured quotations, statistics or testimonials</t>
  </si>
  <si>
    <t xml:space="preserve">Never. Including 'illustrative' quotations attributed to unnamed people.</t>
  </si>
  <si>
    <t xml:space="preserve">I10</t>
  </si>
  <si>
    <t xml:space="preserve">Naming or implying wrongdoing by an identifiable firm</t>
  </si>
  <si>
    <t xml:space="preserve">Discuss categories of failure and cite regulator findings; do not accuse.</t>
  </si>
  <si>
    <t xml:space="preserve">J. Conclusion and call to action</t>
  </si>
  <si>
    <t xml:space="preserve">J1</t>
  </si>
  <si>
    <t xml:space="preserve">Every article ends with a useful summary of the topic and a natural next step.</t>
  </si>
  <si>
    <t xml:space="preserve">Three to five sentences that resolve the question the reader arrived with. No new claims introduced in the conclusion.</t>
  </si>
  <si>
    <t xml:space="preserve">Closing summary names the seven axes (QA J2); the approved CTA text is on every page; one enquiry route: /contact/ → app.lendmaxcapital.ca/investor-start.</t>
  </si>
  <si>
    <t xml:space="preserve">J2</t>
  </si>
  <si>
    <t xml:space="preserve">The conclusion reinforces that mortgage investments vary significantly.</t>
  </si>
  <si>
    <t xml:space="preserve">Name the axes of variation explicitly: borrower, property, LTV, security position, term, jurisdiction and investment structure.</t>
  </si>
  <si>
    <t xml:space="preserve">J3</t>
  </si>
  <si>
    <t xml:space="preserve">Standard CTA — 'Explore Mortgage Investment Opportunities'.</t>
  </si>
  <si>
    <t xml:space="preserve">"Connect with our experienced mortgage professionals to discuss available mortgage investment opportunities, understand the underlying property and security, compare potential returns and risks, and determine which opportunities align with your investment objectives."</t>
  </si>
  <si>
    <t xml:space="preserve">J4</t>
  </si>
  <si>
    <t xml:space="preserve">The CTA must not state or imply universal suitability or any guarantee.</t>
  </si>
  <si>
    <t xml:space="preserve">No 'right for every investor', no 'guaranteed returns', no urgency or scarcity framing.</t>
  </si>
  <si>
    <t xml:space="preserve">J5</t>
  </si>
  <si>
    <t xml:space="preserve">CTA destination is consistent site-wide.</t>
  </si>
  <si>
    <t xml:space="preserve">One investor enquiry route, matching the site's approved contact configuration. No competing or ad-hoc destinations.</t>
  </si>
  <si>
    <t xml:space="preserve">K. Pre-publication QA gate — all must pass</t>
  </si>
  <si>
    <t xml:space="preserve">K1</t>
  </si>
  <si>
    <t xml:space="preserve">Primary search question answered within the first 120 words.</t>
  </si>
  <si>
    <t xml:space="preserve">Pass / fail, recorded against the article with the checker's name.</t>
  </si>
  <si>
    <t xml:space="preserve">See Content QA</t>
  </si>
  <si>
    <t xml:space="preserve">Automated K-checks pass for all 90 articles; manual checks and their status are on the Content QA sheet.</t>
  </si>
  <si>
    <t xml:space="preserve">K2</t>
  </si>
  <si>
    <t xml:space="preserve">One H1; heading hierarchy has no level jumps.</t>
  </si>
  <si>
    <t xml:space="preserve">K3</t>
  </si>
  <si>
    <t xml:space="preserve">Every statistic carries a source and a period.</t>
  </si>
  <si>
    <t xml:space="preserve">Every regulatory claim verified against the primary statute or regulator page cited today.</t>
  </si>
  <si>
    <t xml:space="preserve">K5</t>
  </si>
  <si>
    <t xml:space="preserve">No provincial rule stated as national.</t>
  </si>
  <si>
    <t xml:space="preserve">K6</t>
  </si>
  <si>
    <t xml:space="preserve">Regulator names and statute titles current — defunct bodies and repealed Acts not named as live.</t>
  </si>
  <si>
    <t xml:space="preserve">K7</t>
  </si>
  <si>
    <t xml:space="preserve">Prohibited-language scan clean (section I).</t>
  </si>
  <si>
    <t xml:space="preserve">K8</t>
  </si>
  <si>
    <t xml:space="preserve">Required disclosures present in the body for this article type (section H).</t>
  </si>
  <si>
    <t xml:space="preserve">K9</t>
  </si>
  <si>
    <t xml:space="preserve">All ten entity elements addressed (section F).</t>
  </si>
  <si>
    <t xml:space="preserve">Worked calculations independently recomputed by a second person.</t>
  </si>
  <si>
    <t xml:space="preserve">K11</t>
  </si>
  <si>
    <t xml:space="preserve">Internal links match the Tab 2 plan in both directions; linked-from pages updated.</t>
  </si>
  <si>
    <t xml:space="preserve">Every external link resolves and supports the adjacent claim.</t>
  </si>
  <si>
    <t xml:space="preserve">Featured image meets section G, including alt text and prohibitions.</t>
  </si>
  <si>
    <t xml:space="preserve">K14</t>
  </si>
  <si>
    <t xml:space="preserve">Structured data matches the visible content.</t>
  </si>
  <si>
    <t xml:space="preserve">K15</t>
  </si>
  <si>
    <t xml:space="preserve">Conclusion and approved CTA present and compliant.</t>
  </si>
  <si>
    <t xml:space="preserve">K16</t>
  </si>
  <si>
    <t xml:space="preserve">Author, reviewer and 'current as of' date visible on the page.</t>
  </si>
  <si>
    <t xml:space="preserve">Tax and regulatory content signed off by a qualified reviewer.</t>
  </si>
  <si>
    <t xml:space="preserve">K18</t>
  </si>
  <si>
    <t xml:space="preserve">Added to the time-sensitive review register (section L) if it contains dated material.</t>
  </si>
  <si>
    <t xml:space="preserve">L. Time-sensitive review register — scheduled re-checks</t>
  </si>
  <si>
    <t xml:space="preserve">L1</t>
  </si>
  <si>
    <t xml:space="preserve">British Columbia — Mortgage Services Act in force 13 October 2026</t>
  </si>
  <si>
    <t xml:space="preserve">Makes mortgage lending and mortgage administration licensed activities in BC, with four licence categories. Materially changes every BC page.</t>
  </si>
  <si>
    <t xml:space="preserve">Monitor</t>
  </si>
  <si>
    <t xml:space="preserve">Time-sensitive items: re-check on the dates given. L1 (BC Mortgage Services Act, in force 13 Oct 2026): update the BC pages from 'scheduled to come into force' to 'in force' and confirm licence categories with BCFSA.</t>
  </si>
  <si>
    <t xml:space="preserve">L2</t>
  </si>
  <si>
    <t xml:space="preserve">Newfoundland and Labrador — Mortgage Brokerages and Brokers Act in force 1 April 2025</t>
  </si>
  <si>
    <t xml:space="preserve">Repealed the former Mortgage Brokers Act. Most existing online content is stale. No administrator licence category was adopted.</t>
  </si>
  <si>
    <t xml:space="preserve">L3</t>
  </si>
  <si>
    <t xml:space="preserve">Nova Scotia — Mortgage Regulation Act, S.N.S. 2012 c.11, in force 1 November 2021</t>
  </si>
  <si>
    <t xml:space="preserve">Enacted 2012, proclaimed 2021. Citing it as the 'Mortgage Regulation Act, 2021' is wrong.</t>
  </si>
  <si>
    <t xml:space="preserve">L4</t>
  </si>
  <si>
    <t xml:space="preserve">Ontario — syndicated mortgage oversight split with the OSC from 1 July 2021</t>
  </si>
  <si>
    <t xml:space="preserve">FSRA supervises non-qualified syndicated mortgage investments with permitted clients; the OSC supervises the rest. Older forms retired.</t>
  </si>
  <si>
    <t xml:space="preserve">L5</t>
  </si>
  <si>
    <t xml:space="preserve">Quebec — mortgage brokerage moved from OACIQ to the AMF on 1 May 2020</t>
  </si>
  <si>
    <t xml:space="preserve">OACIQ must not be named as the current mortgage brokerage regulator.</t>
  </si>
  <si>
    <t xml:space="preserve">L6</t>
  </si>
  <si>
    <t xml:space="preserve">National — CSA syndicated mortgage amendments, 1 March 2021 (1 July 2021 in Ontario and Quebec)</t>
  </si>
  <si>
    <t xml:space="preserve">Mortgages and private issuer exemptions withdrawn for syndicated mortgages; OM appraisal requirements added; dealer-registration exemption repealed.</t>
  </si>
  <si>
    <t xml:space="preserve">L7</t>
  </si>
  <si>
    <t xml:space="preserve">Manitoba enforcement route — sources conflict</t>
  </si>
  <si>
    <t xml:space="preserve">An administrative process through the Land Titles Office leading to an Order for Sale. Authoritative sources disagree on whether to call it power of sale or judicial.</t>
  </si>
  <si>
    <t xml:space="preserve">L8</t>
  </si>
  <si>
    <t xml:space="preserve">Prince Edward Island — apparent absence of a mortgage broker licensing regime</t>
  </si>
  <si>
    <t xml:space="preserve">Sourced to trade press only. A negative is hard to prove and a PEI reader could challenge it.</t>
  </si>
  <si>
    <t xml:space="preserve">L9</t>
  </si>
  <si>
    <t xml:space="preserve">ITA s.130.1(6) literal wording, including the paragraph (g) foreclosure carve-out</t>
  </si>
  <si>
    <t xml:space="preserve">The carve-out excluding property acquired on foreclosure from the 25% real-property test is commercially significant and was not verified verbatim.</t>
  </si>
  <si>
    <t xml:space="preserve">L10</t>
  </si>
  <si>
    <t xml:space="preserve">Income Tax Regulations 4900(1)(c) literal wording</t>
  </si>
  <si>
    <t xml:space="preserve">MIC shares as a qualified investment, and the connected-person condition. Obtained only via CRA's own paraphrase.</t>
  </si>
  <si>
    <t xml:space="preserve">L11</t>
  </si>
  <si>
    <t xml:space="preserve">Alberta and Manitoba investor / lender disclosure requirements</t>
  </si>
  <si>
    <t xml:space="preserve">Neither confirmed nor excluded by research.</t>
  </si>
  <si>
    <t xml:space="preserve">L12</t>
  </si>
  <si>
    <t xml:space="preserve">BC syndicated-mortgage exemption position and the status of BCI 33-707</t>
  </si>
  <si>
    <t xml:space="preserve">BC's current position was not verified, and the reported revocation of the dealer-registration exemption for MIC capital raising is industry-sourced only.</t>
  </si>
  <si>
    <t xml:space="preserve">L13</t>
  </si>
  <si>
    <t xml:space="preserve">All market statistics — CMHC and provincial regulator reporting</t>
  </si>
  <si>
    <t xml:space="preserve">MIE market share, assets, growth and delinquency; Ontario private-lending volumes and lender counts.</t>
  </si>
  <si>
    <t xml:space="preserve">L14</t>
  </si>
  <si>
    <t xml:space="preserve">Any published return, yield or rate figure</t>
  </si>
  <si>
    <t xml:space="preserve">Ages fastest of anything on the site and carries the most compliance risk.</t>
  </si>
</sst>
</file>

<file path=xl/styles.xml><?xml version="1.0" encoding="utf-8"?>
<styleSheet xmlns="http://schemas.openxmlformats.org/spreadsheetml/2006/main">
  <numFmts count="3">
    <numFmt numFmtId="164" formatCode="General"/>
    <numFmt numFmtId="165" formatCode="#,##0"/>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6"/>
      <color rgb="FF0E1C2F"/>
      <name val="Arial"/>
      <family val="0"/>
      <charset val="1"/>
    </font>
    <font>
      <i val="true"/>
      <sz val="10"/>
      <color rgb="FF44474C"/>
      <name val="Arial"/>
      <family val="0"/>
      <charset val="1"/>
    </font>
    <font>
      <b val="true"/>
      <sz val="12"/>
      <color rgb="FF0E1C2F"/>
      <name val="Arial"/>
      <family val="0"/>
      <charset val="1"/>
    </font>
    <font>
      <sz val="10"/>
      <name val="Arial"/>
      <family val="0"/>
      <charset val="1"/>
    </font>
    <font>
      <b val="true"/>
      <sz val="10"/>
      <name val="Arial"/>
      <family val="0"/>
      <charset val="1"/>
    </font>
    <font>
      <sz val="10"/>
      <color rgb="FF44474C"/>
      <name val="Arial"/>
      <family val="0"/>
      <charset val="1"/>
    </font>
    <font>
      <b val="true"/>
      <sz val="12"/>
      <color rgb="FFDC2626"/>
      <name val="Arial"/>
      <family val="0"/>
      <charset val="1"/>
    </font>
    <font>
      <b val="true"/>
      <sz val="10"/>
      <color rgb="FF006398"/>
      <name val="Arial"/>
      <family val="0"/>
      <charset val="1"/>
    </font>
    <font>
      <b val="true"/>
      <sz val="10"/>
      <color rgb="FFFFFFFF"/>
      <name val="Arial"/>
      <family val="0"/>
      <charset val="1"/>
    </font>
    <font>
      <sz val="10"/>
      <name val="Arial"/>
      <family val="2"/>
    </font>
    <font>
      <i val="true"/>
      <sz val="1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DCFCE7"/>
        <bgColor rgb="FFCCFFCC"/>
      </patternFill>
    </fill>
    <fill>
      <patternFill patternType="solid">
        <fgColor rgb="FF0E1C2F"/>
        <bgColor rgb="FF003366"/>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E1C2F"/>
          <bgColor rgb="FF000000"/>
        </patternFill>
      </fill>
    </dxf>
    <dxf>
      <fill>
        <patternFill patternType="solid">
          <bgColor rgb="FF000000"/>
        </patternFill>
      </fill>
    </dxf>
    <dxf>
      <fill>
        <patternFill patternType="solid">
          <fgColor rgb="FFFFFFFF"/>
          <bgColor rgb="FF000000"/>
        </patternFill>
      </fill>
    </dxf>
    <dxf>
      <fill>
        <patternFill patternType="solid">
          <fgColor rgb="FFDCFCE7"/>
          <bgColor rgb="FF000000"/>
        </patternFill>
      </fill>
    </dxf>
    <dxf>
      <fill>
        <patternFill>
          <bgColor rgb="FFDCFCE7"/>
        </patternFill>
      </fill>
    </dxf>
    <dxf>
      <fill>
        <patternFill>
          <bgColor rgb="FFFEF3C7"/>
        </patternFill>
      </fill>
    </dxf>
    <dxf>
      <fill>
        <patternFill>
          <bgColor rgb="FFFEE2E2"/>
        </patternFill>
      </fill>
    </dxf>
    <dxf>
      <fill>
        <patternFill patternType="solid">
          <fgColor rgb="FFFFFF00"/>
          <bgColor rgb="FF000000"/>
        </patternFill>
      </fill>
    </dxf>
    <dxf>
      <fill>
        <patternFill patternType="solid">
          <fgColor rgb="FFFEF3C7"/>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398"/>
      <rgbColor rgb="FFCCCCFF"/>
      <rgbColor rgb="FF000080"/>
      <rgbColor rgb="FFFF00FF"/>
      <rgbColor rgb="FFFFFF00"/>
      <rgbColor rgb="FF00FFFF"/>
      <rgbColor rgb="FF800080"/>
      <rgbColor rgb="FF800000"/>
      <rgbColor rgb="FF008080"/>
      <rgbColor rgb="FF0000FF"/>
      <rgbColor rgb="FF00CCFF"/>
      <rgbColor rgb="FFE2E8F0"/>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E1C2F"/>
      <rgbColor rgb="FF333300"/>
      <rgbColor rgb="FF993300"/>
      <rgbColor rgb="FF993366"/>
      <rgbColor rgb="FF333399"/>
      <rgbColor rgb="FF4447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lmcmic-seo-master.xlsx" TargetMode="External"/><Relationship Id="rId2" Type="http://schemas.openxmlformats.org/officeDocument/2006/relationships/hyperlink" Target="lmcmic-seo-master.xlsx" TargetMode="External"/><Relationship Id="rId3" Type="http://schemas.openxmlformats.org/officeDocument/2006/relationships/hyperlink" Target="lmcmic-seo-master.xlsx" TargetMode="External"/><Relationship Id="rId4" Type="http://schemas.openxmlformats.org/officeDocument/2006/relationships/hyperlink" Target="lmcmic-seo-master.xlsx" TargetMode="External"/><Relationship Id="rId5" Type="http://schemas.openxmlformats.org/officeDocument/2006/relationships/hyperlink" Target="lmcmic-seo-master.xlsx" TargetMode="External"/><Relationship Id="rId6" Type="http://schemas.openxmlformats.org/officeDocument/2006/relationships/hyperlink" Target="lmcmic-seo-master.xlsx" TargetMode="External"/><Relationship Id="rId7" Type="http://schemas.openxmlformats.org/officeDocument/2006/relationships/hyperlink" Target="lmcmic-seo-master.xlsx" TargetMode="External"/><Relationship Id="rId8" Type="http://schemas.openxmlformats.org/officeDocument/2006/relationships/hyperlink" Target="lmcmic-seo-master.xlsx" TargetMode="External"/><Relationship Id="rId9" Type="http://schemas.openxmlformats.org/officeDocument/2006/relationships/hyperlink" Target="lmcmic-seo-master.xlsx"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1C2F"/>
    <pageSetUpPr fitToPage="false"/>
  </sheetPr>
  <dimension ref="A1:C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COUNTA(Pages!B2:B98)</f>
        <v>97</v>
      </c>
      <c r="C5" s="6" t="s">
        <v>4</v>
      </c>
    </row>
    <row r="6" customFormat="false" ht="15" hidden="false" customHeight="false" outlineLevel="0" collapsed="false">
      <c r="A6" s="4" t="s">
        <v>5</v>
      </c>
      <c r="B6" s="5" t="n">
        <f aca="false">COUNTIF(Pages!Z2:Z98,"Yes")</f>
        <v>97</v>
      </c>
      <c r="C6" s="6" t="s">
        <v>6</v>
      </c>
    </row>
    <row r="7" customFormat="false" ht="15" hidden="false" customHeight="false" outlineLevel="0" collapsed="false">
      <c r="A7" s="4" t="s">
        <v>7</v>
      </c>
      <c r="B7" s="5" t="n">
        <f aca="false">COUNTIF(Pages!C2:C98,"&lt;&gt;Core page")-COUNTIF(Pages!C2:C98,"Hub")-COUNTIF(Pages!C2:C98,"Legal")</f>
        <v>89</v>
      </c>
      <c r="C7" s="6"/>
    </row>
    <row r="8" customFormat="false" ht="15" hidden="false" customHeight="false" outlineLevel="0" collapsed="false">
      <c r="A8" s="4" t="s">
        <v>8</v>
      </c>
      <c r="B8" s="5" t="n">
        <f aca="false">COUNTIF(Pages!H2:H98,"OK")</f>
        <v>97</v>
      </c>
      <c r="C8" s="6" t="s">
        <v>9</v>
      </c>
    </row>
    <row r="9" customFormat="false" ht="15" hidden="false" customHeight="false" outlineLevel="0" collapsed="false">
      <c r="A9" s="4" t="s">
        <v>10</v>
      </c>
      <c r="B9" s="5" t="n">
        <f aca="false">COUNTIF(Pages!K2:K98,"OK")</f>
        <v>97</v>
      </c>
      <c r="C9" s="6" t="s">
        <v>11</v>
      </c>
    </row>
    <row r="10" customFormat="false" ht="15" hidden="false" customHeight="false" outlineLevel="0" collapsed="false">
      <c r="A10" s="4" t="s">
        <v>12</v>
      </c>
      <c r="B10" s="5" t="n">
        <f aca="false">COUNTIF(Pages!Q2:Q98,"Yes")</f>
        <v>97</v>
      </c>
      <c r="C10" s="6" t="s">
        <v>13</v>
      </c>
    </row>
    <row r="11" customFormat="false" ht="15" hidden="false" customHeight="false" outlineLevel="0" collapsed="false">
      <c r="A11" s="4" t="s">
        <v>14</v>
      </c>
      <c r="B11" s="5" t="n">
        <f aca="false">COUNTIF(Pages!AA2:AA98,"Yes")</f>
        <v>97</v>
      </c>
      <c r="C11" s="6"/>
    </row>
    <row r="12" customFormat="false" ht="15" hidden="false" customHeight="false" outlineLevel="0" collapsed="false">
      <c r="A12" s="4" t="s">
        <v>15</v>
      </c>
      <c r="B12" s="5" t="n">
        <f aca="false">SUM(Pages!T2:T98)</f>
        <v>273316</v>
      </c>
      <c r="C12" s="6" t="s">
        <v>16</v>
      </c>
    </row>
    <row r="13" customFormat="false" ht="15" hidden="false" customHeight="false" outlineLevel="0" collapsed="false">
      <c r="A13" s="3" t="s">
        <v>17</v>
      </c>
    </row>
    <row r="14" customFormat="false" ht="15" hidden="false" customHeight="false" outlineLevel="0" collapsed="false">
      <c r="A14" s="4" t="s">
        <v>18</v>
      </c>
      <c r="B14" s="5" t="n">
        <f aca="false">COUNTIF('Content QA'!H2:H91,"PASS")</f>
        <v>90</v>
      </c>
      <c r="C14" s="6" t="s">
        <v>19</v>
      </c>
    </row>
    <row r="15" customFormat="false" ht="15" hidden="false" customHeight="false" outlineLevel="0" collapsed="false">
      <c r="A15" s="4" t="s">
        <v>20</v>
      </c>
      <c r="B15" s="5" t="n">
        <f aca="false">COUNTA('Internal Links'!A2:A1310)</f>
        <v>1309</v>
      </c>
      <c r="C15" s="6" t="s">
        <v>21</v>
      </c>
    </row>
    <row r="16" customFormat="false" ht="15" hidden="false" customHeight="false" outlineLevel="0" collapsed="false">
      <c r="A16" s="4" t="s">
        <v>22</v>
      </c>
      <c r="B16" s="5" t="n">
        <f aca="false">COUNTIF('Internal Links'!D2:D1310,"Check")</f>
        <v>0</v>
      </c>
      <c r="C16" s="6" t="s">
        <v>23</v>
      </c>
    </row>
    <row r="17" customFormat="false" ht="15" hidden="false" customHeight="false" outlineLevel="0" collapsed="false">
      <c r="A17" s="4" t="s">
        <v>24</v>
      </c>
      <c r="B17" s="5" t="n">
        <f aca="false">COUNTIF('External Links'!C2:C26,"Yes")</f>
        <v>21</v>
      </c>
      <c r="C17" s="6" t="s">
        <v>25</v>
      </c>
    </row>
    <row r="18" customFormat="false" ht="15" hidden="false" customHeight="false" outlineLevel="0" collapsed="false">
      <c r="A18" s="3" t="s">
        <v>26</v>
      </c>
    </row>
    <row r="19" customFormat="false" ht="15" hidden="false" customHeight="false" outlineLevel="0" collapsed="false">
      <c r="A19" s="4" t="s">
        <v>27</v>
      </c>
      <c r="B19" s="5" t="n">
        <f aca="false">COUNTA(Keywords!A2:A383)</f>
        <v>382</v>
      </c>
      <c r="C19" s="6" t="s">
        <v>28</v>
      </c>
    </row>
    <row r="20" customFormat="false" ht="15" hidden="false" customHeight="false" outlineLevel="0" collapsed="false">
      <c r="A20" s="4" t="s">
        <v>29</v>
      </c>
      <c r="B20" s="5" t="n">
        <f aca="false">COUNTIF(Keywords!M2:M383,"/*")</f>
        <v>376</v>
      </c>
      <c r="C20" s="6"/>
    </row>
    <row r="21" customFormat="false" ht="15" hidden="false" customHeight="false" outlineLevel="0" collapsed="false">
      <c r="A21" s="4" t="s">
        <v>30</v>
      </c>
      <c r="B21" s="5" t="n">
        <f aca="false">COUNTIF(Keywords!O2:O383,"Yes")</f>
        <v>376</v>
      </c>
      <c r="C21" s="6"/>
    </row>
    <row r="22" customFormat="false" ht="15" hidden="false" customHeight="false" outlineLevel="0" collapsed="false">
      <c r="A22" s="4" t="s">
        <v>31</v>
      </c>
      <c r="B22" s="5" t="n">
        <f aca="false">COUNTIF(Keywords!M2:M383,"")</f>
        <v>6</v>
      </c>
      <c r="C22" s="6"/>
    </row>
    <row r="23" customFormat="false" ht="15" hidden="false" customHeight="false" outlineLevel="0" collapsed="false">
      <c r="A23" s="4" t="s">
        <v>32</v>
      </c>
      <c r="B23" s="5" t="n">
        <f aca="false">COUNTIF(Keywords!J2:J383,"1*")</f>
        <v>98</v>
      </c>
      <c r="C23" s="6"/>
    </row>
    <row r="25" customFormat="false" ht="15" hidden="false" customHeight="false" outlineLevel="0" collapsed="false">
      <c r="A25" s="7" t="s">
        <v>33</v>
      </c>
    </row>
    <row r="26" customFormat="false" ht="30" hidden="false" customHeight="true" outlineLevel="0" collapsed="false">
      <c r="A26" s="8" t="s">
        <v>34</v>
      </c>
      <c r="C26" s="9" t="s">
        <v>35</v>
      </c>
    </row>
    <row r="27" customFormat="false" ht="30" hidden="false" customHeight="true" outlineLevel="0" collapsed="false">
      <c r="A27" s="8" t="s">
        <v>36</v>
      </c>
      <c r="C27" s="9" t="s">
        <v>37</v>
      </c>
    </row>
    <row r="28" customFormat="false" ht="30" hidden="false" customHeight="true" outlineLevel="0" collapsed="false">
      <c r="A28" s="8" t="s">
        <v>38</v>
      </c>
      <c r="C28" s="9" t="s">
        <v>39</v>
      </c>
    </row>
    <row r="29" customFormat="false" ht="30" hidden="false" customHeight="true" outlineLevel="0" collapsed="false">
      <c r="A29" s="8" t="s">
        <v>40</v>
      </c>
      <c r="C29" s="9" t="s">
        <v>41</v>
      </c>
    </row>
    <row r="30" customFormat="false" ht="30" hidden="false" customHeight="true" outlineLevel="0" collapsed="false">
      <c r="A30" s="8" t="s">
        <v>42</v>
      </c>
      <c r="C30" s="9" t="s">
        <v>43</v>
      </c>
    </row>
    <row r="31" customFormat="false" ht="30" hidden="false" customHeight="true" outlineLevel="0" collapsed="false">
      <c r="A31" s="8" t="s">
        <v>44</v>
      </c>
      <c r="C31" s="9" t="s">
        <v>45</v>
      </c>
    </row>
    <row r="32" customFormat="false" ht="30" hidden="false" customHeight="true" outlineLevel="0" collapsed="false">
      <c r="A32" s="8" t="s">
        <v>46</v>
      </c>
      <c r="C32" s="9" t="s">
        <v>47</v>
      </c>
    </row>
    <row r="34" customFormat="false" ht="15" hidden="false" customHeight="false" outlineLevel="0" collapsed="false">
      <c r="A34" s="3" t="s">
        <v>48</v>
      </c>
    </row>
    <row r="35" customFormat="false" ht="15" hidden="false" customHeight="false" outlineLevel="0" collapsed="false">
      <c r="A35" s="10" t="s">
        <v>2</v>
      </c>
      <c r="C35" s="11" t="s">
        <v>49</v>
      </c>
    </row>
    <row r="36" customFormat="false" ht="15" hidden="false" customHeight="false" outlineLevel="0" collapsed="false">
      <c r="A36" s="10" t="s">
        <v>26</v>
      </c>
      <c r="C36" s="11" t="s">
        <v>50</v>
      </c>
    </row>
    <row r="37" customFormat="false" ht="15" hidden="false" customHeight="false" outlineLevel="0" collapsed="false">
      <c r="A37" s="10" t="s">
        <v>51</v>
      </c>
      <c r="C37" s="11" t="s">
        <v>52</v>
      </c>
    </row>
    <row r="38" customFormat="false" ht="15" hidden="false" customHeight="false" outlineLevel="0" collapsed="false">
      <c r="A38" s="10" t="s">
        <v>53</v>
      </c>
      <c r="C38" s="11" t="s">
        <v>54</v>
      </c>
    </row>
    <row r="39" customFormat="false" ht="15" hidden="false" customHeight="false" outlineLevel="0" collapsed="false">
      <c r="A39" s="10" t="s">
        <v>55</v>
      </c>
      <c r="C39" s="11" t="s">
        <v>56</v>
      </c>
    </row>
    <row r="40" customFormat="false" ht="15" hidden="false" customHeight="false" outlineLevel="0" collapsed="false">
      <c r="A40" s="10" t="s">
        <v>57</v>
      </c>
      <c r="C40" s="11" t="s">
        <v>58</v>
      </c>
    </row>
    <row r="41" customFormat="false" ht="15" hidden="false" customHeight="false" outlineLevel="0" collapsed="false">
      <c r="A41" s="10" t="s">
        <v>59</v>
      </c>
      <c r="C41" s="11" t="s">
        <v>60</v>
      </c>
    </row>
    <row r="42" customFormat="false" ht="15" hidden="false" customHeight="false" outlineLevel="0" collapsed="false">
      <c r="A42" s="10" t="s">
        <v>61</v>
      </c>
      <c r="C42" s="11" t="s">
        <v>62</v>
      </c>
    </row>
    <row r="43" customFormat="false" ht="15" hidden="false" customHeight="false" outlineLevel="0" collapsed="false">
      <c r="A43" s="10" t="s">
        <v>63</v>
      </c>
      <c r="C43" s="11" t="s">
        <v>64</v>
      </c>
    </row>
    <row r="45" customFormat="false" ht="15" hidden="false" customHeight="false" outlineLevel="0" collapsed="false">
      <c r="A45" s="3" t="s">
        <v>65</v>
      </c>
    </row>
    <row r="46" customFormat="false" ht="15" hidden="false" customHeight="false" outlineLevel="0" collapsed="false">
      <c r="A46" s="12" t="s">
        <v>66</v>
      </c>
      <c r="C46" s="11" t="s">
        <v>67</v>
      </c>
    </row>
    <row r="47" customFormat="false" ht="15" hidden="false" customHeight="false" outlineLevel="0" collapsed="false">
      <c r="A47" s="13" t="s">
        <v>68</v>
      </c>
      <c r="C47" s="11" t="s">
        <v>69</v>
      </c>
    </row>
  </sheetData>
  <hyperlinks>
    <hyperlink ref="A35" r:id="rId1" location="'Pages'!A1" display="Pages"/>
    <hyperlink ref="A36" r:id="rId2" location="'Keywords'!A1" display="Keywords"/>
    <hyperlink ref="A37" r:id="rId3" location="'Content%20QA'!A1" display="Content QA"/>
    <hyperlink ref="A38" r:id="rId4" location="'Internal%20Links'!A1" display="Internal Links"/>
    <hyperlink ref="A39" r:id="rId5" location="'Redirects'!A1" display="Redirects"/>
    <hyperlink ref="A40" r:id="rId6" location="'Images'!A1" display="Images"/>
    <hyperlink ref="A41" r:id="rId7" location="'External%20Links'!A1" display="External Links"/>
    <hyperlink ref="A42" r:id="rId8" location="'Technical%20SEO'!A1" display="Technical SEO"/>
    <hyperlink ref="A43" r:id="rId9" location="'SEO%20Checklist'!A1" display="SEO Checklis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AD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2"/>
    <col collapsed="false" customWidth="true" hidden="false" outlineLevel="0" max="4" min="4" style="0" width="22"/>
    <col collapsed="false" customWidth="true" hidden="false" outlineLevel="0" max="5" min="5" style="0" width="8"/>
    <col collapsed="false" customWidth="true" hidden="false" outlineLevel="0" max="6" min="6" style="0" width="46"/>
    <col collapsed="false" customWidth="true" hidden="false" outlineLevel="0" max="7" min="7" style="0" width="8"/>
    <col collapsed="false" customWidth="true" hidden="false" outlineLevel="0" max="8" min="8" style="0" width="10"/>
    <col collapsed="false" customWidth="true" hidden="false" outlineLevel="0" max="9" min="9" style="0" width="60"/>
    <col collapsed="false" customWidth="true" hidden="false" outlineLevel="0" max="10" min="10" style="0" width="10"/>
    <col collapsed="false" customWidth="true" hidden="false" outlineLevel="0" max="11" min="11" style="0" width="11"/>
    <col collapsed="false" customWidth="true" hidden="false" outlineLevel="0" max="12" min="12" style="0" width="40"/>
    <col collapsed="false" customWidth="true" hidden="false" outlineLevel="0" max="13" min="13" style="0" width="28"/>
    <col collapsed="false" customWidth="true" hidden="false" outlineLevel="0" max="14" min="14" style="0" width="40"/>
    <col collapsed="false" customWidth="true" hidden="false" outlineLevel="0" max="15" min="15" style="0" width="34"/>
    <col collapsed="false" customWidth="true" hidden="false" outlineLevel="0" max="16" min="16" style="0" width="40"/>
    <col collapsed="false" customWidth="true" hidden="false" outlineLevel="0" max="17" min="17" style="0" width="10"/>
    <col collapsed="false" customWidth="true" hidden="false" outlineLevel="0" max="18" min="18" style="0" width="22"/>
    <col collapsed="false" customWidth="true" hidden="false" outlineLevel="0" max="19" min="19" style="0" width="34"/>
    <col collapsed="false" customWidth="true" hidden="false" outlineLevel="0" max="22" min="20" style="0" width="9"/>
    <col collapsed="false" customWidth="true" hidden="false" outlineLevel="0" max="23" min="23" style="0" width="40"/>
    <col collapsed="false" customWidth="true" hidden="false" outlineLevel="0" max="24" min="24" style="0" width="7"/>
    <col collapsed="false" customWidth="true" hidden="false" outlineLevel="0" max="25" min="25" style="0" width="8"/>
    <col collapsed="false" customWidth="true" hidden="false" outlineLevel="0" max="26" min="26" style="0" width="9"/>
    <col collapsed="false" customWidth="true" hidden="false" outlineLevel="0" max="27" min="27" style="0" width="8"/>
    <col collapsed="false" customWidth="true" hidden="false" outlineLevel="0" max="29" min="28" style="0" width="12"/>
    <col collapsed="false" customWidth="true" hidden="false" outlineLevel="0" max="30" min="30" style="0" width="40"/>
  </cols>
  <sheetData>
    <row r="1" customFormat="false" ht="30" hidden="false" customHeight="true" outlineLevel="0" collapsed="false">
      <c r="A1" s="14" t="s">
        <v>70</v>
      </c>
      <c r="B1" s="14" t="s">
        <v>71</v>
      </c>
      <c r="C1" s="14" t="s">
        <v>72</v>
      </c>
      <c r="D1" s="14" t="s">
        <v>73</v>
      </c>
      <c r="E1" s="14" t="s">
        <v>74</v>
      </c>
      <c r="F1" s="14" t="s">
        <v>75</v>
      </c>
      <c r="G1" s="14" t="s">
        <v>76</v>
      </c>
      <c r="H1" s="14" t="s">
        <v>77</v>
      </c>
      <c r="I1" s="14" t="s">
        <v>78</v>
      </c>
      <c r="J1" s="14" t="s">
        <v>79</v>
      </c>
      <c r="K1" s="14" t="s">
        <v>80</v>
      </c>
      <c r="L1" s="14" t="s">
        <v>81</v>
      </c>
      <c r="M1" s="14" t="s">
        <v>82</v>
      </c>
      <c r="N1" s="14" t="s">
        <v>83</v>
      </c>
      <c r="O1" s="14" t="s">
        <v>84</v>
      </c>
      <c r="P1" s="14" t="s">
        <v>85</v>
      </c>
      <c r="Q1" s="14" t="s">
        <v>86</v>
      </c>
      <c r="R1" s="14" t="s">
        <v>87</v>
      </c>
      <c r="S1" s="14" t="s">
        <v>88</v>
      </c>
      <c r="T1" s="14" t="s">
        <v>89</v>
      </c>
      <c r="U1" s="14" t="s">
        <v>90</v>
      </c>
      <c r="V1" s="14" t="s">
        <v>91</v>
      </c>
      <c r="W1" s="14" t="s">
        <v>92</v>
      </c>
      <c r="X1" s="14" t="s">
        <v>93</v>
      </c>
      <c r="Y1" s="14" t="s">
        <v>94</v>
      </c>
      <c r="Z1" s="14" t="s">
        <v>95</v>
      </c>
      <c r="AA1" s="14" t="s">
        <v>96</v>
      </c>
      <c r="AB1" s="14" t="s">
        <v>97</v>
      </c>
      <c r="AC1" s="14" t="s">
        <v>98</v>
      </c>
      <c r="AD1" s="14" t="s">
        <v>99</v>
      </c>
    </row>
    <row r="2" customFormat="false" ht="35.05" hidden="false" customHeight="false" outlineLevel="0" collapsed="false">
      <c r="A2" s="15" t="n">
        <v>1</v>
      </c>
      <c r="B2" s="15" t="s">
        <v>100</v>
      </c>
      <c r="C2" s="15" t="s">
        <v>101</v>
      </c>
      <c r="D2" s="15" t="s">
        <v>102</v>
      </c>
      <c r="E2" s="15" t="s">
        <v>103</v>
      </c>
      <c r="F2" s="15" t="s">
        <v>104</v>
      </c>
      <c r="G2" s="15" t="n">
        <f aca="false">LEN(F2)</f>
        <v>46</v>
      </c>
      <c r="H2" s="15" t="str">
        <f aca="false">IF(AND(G2&gt;=30,G2&lt;=65),"OK","Review")</f>
        <v>OK</v>
      </c>
      <c r="I2" s="15" t="s">
        <v>105</v>
      </c>
      <c r="J2" s="15" t="n">
        <f aca="false">LEN(I2)</f>
        <v>159</v>
      </c>
      <c r="K2" s="15" t="str">
        <f aca="false">IF(AND(J2&gt;=120,J2&lt;=160),"OK","Review")</f>
        <v>OK</v>
      </c>
      <c r="L2" s="15" t="s">
        <v>106</v>
      </c>
      <c r="M2" s="15" t="s">
        <v>107</v>
      </c>
      <c r="N2" s="15" t="s">
        <v>108</v>
      </c>
      <c r="O2" s="15"/>
      <c r="P2" s="15" t="s">
        <v>109</v>
      </c>
      <c r="Q2" s="15" t="str">
        <f aca="false">IF(P2="https://lmcmic.ca"&amp;B2,"Yes","No")</f>
        <v>Yes</v>
      </c>
      <c r="R2" s="15" t="s">
        <v>110</v>
      </c>
      <c r="S2" s="15" t="s">
        <v>111</v>
      </c>
      <c r="T2" s="15" t="n">
        <v>1474</v>
      </c>
      <c r="U2" s="15" t="n">
        <v>15</v>
      </c>
      <c r="V2" s="15" t="n">
        <v>0</v>
      </c>
      <c r="W2" s="15" t="s">
        <v>112</v>
      </c>
      <c r="X2" s="15" t="s">
        <v>113</v>
      </c>
      <c r="Y2" s="15" t="s">
        <v>113</v>
      </c>
      <c r="Z2" s="15" t="s">
        <v>113</v>
      </c>
      <c r="AA2" s="15" t="s">
        <v>113</v>
      </c>
      <c r="AB2" s="15" t="s">
        <v>114</v>
      </c>
      <c r="AC2" s="15" t="s">
        <v>115</v>
      </c>
      <c r="AD2" s="15" t="str">
        <f aca="false">HYPERLINK("https://lmcmic.ca"&amp;B2,"Open")</f>
        <v>Open</v>
      </c>
    </row>
    <row r="3" customFormat="false" ht="35.05" hidden="false" customHeight="false" outlineLevel="0" collapsed="false">
      <c r="A3" s="15" t="n">
        <v>2</v>
      </c>
      <c r="B3" s="15" t="s">
        <v>116</v>
      </c>
      <c r="C3" s="15" t="s">
        <v>101</v>
      </c>
      <c r="D3" s="15" t="s">
        <v>102</v>
      </c>
      <c r="E3" s="15" t="s">
        <v>103</v>
      </c>
      <c r="F3" s="15" t="s">
        <v>117</v>
      </c>
      <c r="G3" s="15" t="n">
        <f aca="false">LEN(F3)</f>
        <v>62</v>
      </c>
      <c r="H3" s="15" t="str">
        <f aca="false">IF(AND(G3&gt;=30,G3&lt;=65),"OK","Review")</f>
        <v>OK</v>
      </c>
      <c r="I3" s="15" t="s">
        <v>118</v>
      </c>
      <c r="J3" s="15" t="n">
        <f aca="false">LEN(I3)</f>
        <v>159</v>
      </c>
      <c r="K3" s="15" t="str">
        <f aca="false">IF(AND(J3&gt;=120,J3&lt;=160),"OK","Review")</f>
        <v>OK</v>
      </c>
      <c r="L3" s="15" t="s">
        <v>119</v>
      </c>
      <c r="M3" s="15" t="s">
        <v>120</v>
      </c>
      <c r="N3" s="15" t="s">
        <v>121</v>
      </c>
      <c r="O3" s="15"/>
      <c r="P3" s="15" t="s">
        <v>122</v>
      </c>
      <c r="Q3" s="15" t="str">
        <f aca="false">IF(P3="https://lmcmic.ca"&amp;B3,"Yes","No")</f>
        <v>Yes</v>
      </c>
      <c r="R3" s="15" t="s">
        <v>110</v>
      </c>
      <c r="S3" s="15" t="s">
        <v>123</v>
      </c>
      <c r="T3" s="15" t="n">
        <v>798</v>
      </c>
      <c r="U3" s="15" t="n">
        <v>5</v>
      </c>
      <c r="V3" s="15" t="n">
        <v>94</v>
      </c>
      <c r="W3" s="15" t="s">
        <v>124</v>
      </c>
      <c r="X3" s="15" t="s">
        <v>113</v>
      </c>
      <c r="Y3" s="15"/>
      <c r="Z3" s="15" t="s">
        <v>113</v>
      </c>
      <c r="AA3" s="15" t="s">
        <v>113</v>
      </c>
      <c r="AB3" s="15" t="s">
        <v>114</v>
      </c>
      <c r="AC3" s="15" t="s">
        <v>115</v>
      </c>
      <c r="AD3" s="15" t="str">
        <f aca="false">HYPERLINK("https://lmcmic.ca"&amp;B3,"Open")</f>
        <v>Open</v>
      </c>
    </row>
    <row r="4" customFormat="false" ht="35.05" hidden="false" customHeight="false" outlineLevel="0" collapsed="false">
      <c r="A4" s="15" t="n">
        <v>3</v>
      </c>
      <c r="B4" s="15" t="s">
        <v>125</v>
      </c>
      <c r="C4" s="15" t="s">
        <v>101</v>
      </c>
      <c r="D4" s="15" t="s">
        <v>126</v>
      </c>
      <c r="E4" s="15" t="s">
        <v>127</v>
      </c>
      <c r="F4" s="15" t="s">
        <v>128</v>
      </c>
      <c r="G4" s="15" t="n">
        <f aca="false">LEN(F4)</f>
        <v>49</v>
      </c>
      <c r="H4" s="15" t="str">
        <f aca="false">IF(AND(G4&gt;=30,G4&lt;=65),"OK","Review")</f>
        <v>OK</v>
      </c>
      <c r="I4" s="15" t="s">
        <v>129</v>
      </c>
      <c r="J4" s="15" t="n">
        <f aca="false">LEN(I4)</f>
        <v>153</v>
      </c>
      <c r="K4" s="15" t="str">
        <f aca="false">IF(AND(J4&gt;=120,J4&lt;=160),"OK","Review")</f>
        <v>OK</v>
      </c>
      <c r="L4" s="15" t="s">
        <v>130</v>
      </c>
      <c r="M4" s="15" t="s">
        <v>131</v>
      </c>
      <c r="N4" s="15" t="s">
        <v>132</v>
      </c>
      <c r="O4" s="15" t="s">
        <v>133</v>
      </c>
      <c r="P4" s="15" t="s">
        <v>134</v>
      </c>
      <c r="Q4" s="15" t="str">
        <f aca="false">IF(P4="https://lmcmic.ca"&amp;B4,"Yes","No")</f>
        <v>Yes</v>
      </c>
      <c r="R4" s="15" t="s">
        <v>110</v>
      </c>
      <c r="S4" s="15" t="s">
        <v>135</v>
      </c>
      <c r="T4" s="15" t="n">
        <v>3232</v>
      </c>
      <c r="U4" s="15" t="n">
        <v>9</v>
      </c>
      <c r="V4" s="15" t="n">
        <v>14</v>
      </c>
      <c r="W4" s="15" t="s">
        <v>136</v>
      </c>
      <c r="X4" s="15"/>
      <c r="Y4" s="15" t="s">
        <v>113</v>
      </c>
      <c r="Z4" s="15" t="s">
        <v>113</v>
      </c>
      <c r="AA4" s="15" t="s">
        <v>113</v>
      </c>
      <c r="AB4" s="15" t="s">
        <v>137</v>
      </c>
      <c r="AC4" s="15" t="s">
        <v>115</v>
      </c>
      <c r="AD4" s="15" t="str">
        <f aca="false">HYPERLINK("https://lmcmic.ca"&amp;B4,"Open")</f>
        <v>Open</v>
      </c>
    </row>
    <row r="5" customFormat="false" ht="35.05" hidden="false" customHeight="false" outlineLevel="0" collapsed="false">
      <c r="A5" s="15" t="n">
        <v>4</v>
      </c>
      <c r="B5" s="15" t="s">
        <v>138</v>
      </c>
      <c r="C5" s="15" t="s">
        <v>101</v>
      </c>
      <c r="D5" s="15" t="s">
        <v>102</v>
      </c>
      <c r="E5" s="15" t="s">
        <v>103</v>
      </c>
      <c r="F5" s="15" t="s">
        <v>139</v>
      </c>
      <c r="G5" s="15" t="n">
        <f aca="false">LEN(F5)</f>
        <v>65</v>
      </c>
      <c r="H5" s="15" t="str">
        <f aca="false">IF(AND(G5&gt;=30,G5&lt;=65),"OK","Review")</f>
        <v>OK</v>
      </c>
      <c r="I5" s="15" t="s">
        <v>140</v>
      </c>
      <c r="J5" s="15" t="n">
        <f aca="false">LEN(I5)</f>
        <v>157</v>
      </c>
      <c r="K5" s="15" t="str">
        <f aca="false">IF(AND(J5&gt;=120,J5&lt;=160),"OK","Review")</f>
        <v>OK</v>
      </c>
      <c r="L5" s="15" t="s">
        <v>141</v>
      </c>
      <c r="M5" s="15" t="s">
        <v>142</v>
      </c>
      <c r="N5" s="15" t="s">
        <v>143</v>
      </c>
      <c r="O5" s="15"/>
      <c r="P5" s="15" t="s">
        <v>144</v>
      </c>
      <c r="Q5" s="15" t="str">
        <f aca="false">IF(P5="https://lmcmic.ca"&amp;B5,"Yes","No")</f>
        <v>Yes</v>
      </c>
      <c r="R5" s="15" t="s">
        <v>110</v>
      </c>
      <c r="S5" s="15" t="s">
        <v>145</v>
      </c>
      <c r="T5" s="15" t="n">
        <v>1175</v>
      </c>
      <c r="U5" s="15" t="n">
        <v>6</v>
      </c>
      <c r="V5" s="15" t="n">
        <v>3</v>
      </c>
      <c r="W5" s="15" t="s">
        <v>146</v>
      </c>
      <c r="X5" s="15" t="s">
        <v>113</v>
      </c>
      <c r="Y5" s="15" t="s">
        <v>113</v>
      </c>
      <c r="Z5" s="15" t="s">
        <v>113</v>
      </c>
      <c r="AA5" s="15" t="s">
        <v>113</v>
      </c>
      <c r="AB5" s="15" t="s">
        <v>114</v>
      </c>
      <c r="AC5" s="15" t="s">
        <v>115</v>
      </c>
      <c r="AD5" s="15" t="str">
        <f aca="false">HYPERLINK("https://lmcmic.ca"&amp;B5,"Open")</f>
        <v>Open</v>
      </c>
    </row>
    <row r="6" customFormat="false" ht="35.05" hidden="false" customHeight="false" outlineLevel="0" collapsed="false">
      <c r="A6" s="15" t="n">
        <v>5</v>
      </c>
      <c r="B6" s="15" t="s">
        <v>147</v>
      </c>
      <c r="C6" s="15" t="s">
        <v>101</v>
      </c>
      <c r="D6" s="15" t="s">
        <v>102</v>
      </c>
      <c r="E6" s="15" t="s">
        <v>103</v>
      </c>
      <c r="F6" s="15" t="s">
        <v>148</v>
      </c>
      <c r="G6" s="15" t="n">
        <f aca="false">LEN(F6)</f>
        <v>64</v>
      </c>
      <c r="H6" s="15" t="str">
        <f aca="false">IF(AND(G6&gt;=30,G6&lt;=65),"OK","Review")</f>
        <v>OK</v>
      </c>
      <c r="I6" s="15" t="s">
        <v>149</v>
      </c>
      <c r="J6" s="15" t="n">
        <f aca="false">LEN(I6)</f>
        <v>156</v>
      </c>
      <c r="K6" s="15" t="str">
        <f aca="false">IF(AND(J6&gt;=120,J6&lt;=160),"OK","Review")</f>
        <v>OK</v>
      </c>
      <c r="L6" s="15" t="s">
        <v>150</v>
      </c>
      <c r="M6" s="15" t="s">
        <v>151</v>
      </c>
      <c r="N6" s="15" t="s">
        <v>152</v>
      </c>
      <c r="O6" s="15"/>
      <c r="P6" s="15" t="s">
        <v>153</v>
      </c>
      <c r="Q6" s="15" t="str">
        <f aca="false">IF(P6="https://lmcmic.ca"&amp;B6,"Yes","No")</f>
        <v>Yes</v>
      </c>
      <c r="R6" s="15" t="s">
        <v>110</v>
      </c>
      <c r="S6" s="15" t="s">
        <v>145</v>
      </c>
      <c r="T6" s="15" t="n">
        <v>1227</v>
      </c>
      <c r="U6" s="15" t="n">
        <v>9</v>
      </c>
      <c r="V6" s="15" t="n">
        <v>1</v>
      </c>
      <c r="W6" s="15" t="s">
        <v>154</v>
      </c>
      <c r="X6" s="15"/>
      <c r="Y6" s="15"/>
      <c r="Z6" s="15" t="s">
        <v>113</v>
      </c>
      <c r="AA6" s="15" t="s">
        <v>113</v>
      </c>
      <c r="AB6" s="15" t="s">
        <v>114</v>
      </c>
      <c r="AC6" s="15" t="s">
        <v>115</v>
      </c>
      <c r="AD6" s="15" t="str">
        <f aca="false">HYPERLINK("https://lmcmic.ca"&amp;B6,"Open")</f>
        <v>Open</v>
      </c>
    </row>
    <row r="7" customFormat="false" ht="35.05" hidden="false" customHeight="false" outlineLevel="0" collapsed="false">
      <c r="A7" s="15" t="n">
        <v>6</v>
      </c>
      <c r="B7" s="15" t="s">
        <v>155</v>
      </c>
      <c r="C7" s="15" t="s">
        <v>156</v>
      </c>
      <c r="D7" s="15" t="s">
        <v>156</v>
      </c>
      <c r="E7" s="15" t="s">
        <v>157</v>
      </c>
      <c r="F7" s="15" t="s">
        <v>158</v>
      </c>
      <c r="G7" s="15" t="n">
        <f aca="false">LEN(F7)</f>
        <v>58</v>
      </c>
      <c r="H7" s="15" t="str">
        <f aca="false">IF(AND(G7&gt;=30,G7&lt;=65),"OK","Review")</f>
        <v>OK</v>
      </c>
      <c r="I7" s="15" t="s">
        <v>159</v>
      </c>
      <c r="J7" s="15" t="n">
        <f aca="false">LEN(I7)</f>
        <v>152</v>
      </c>
      <c r="K7" s="15" t="str">
        <f aca="false">IF(AND(J7&gt;=120,J7&lt;=160),"OK","Review")</f>
        <v>OK</v>
      </c>
      <c r="L7" s="15" t="s">
        <v>160</v>
      </c>
      <c r="M7" s="15"/>
      <c r="N7" s="15"/>
      <c r="O7" s="15"/>
      <c r="P7" s="15" t="s">
        <v>161</v>
      </c>
      <c r="Q7" s="15" t="str">
        <f aca="false">IF(P7="https://lmcmic.ca"&amp;B7,"Yes","No")</f>
        <v>Yes</v>
      </c>
      <c r="R7" s="15" t="s">
        <v>110</v>
      </c>
      <c r="S7" s="15" t="s">
        <v>162</v>
      </c>
      <c r="T7" s="15" t="n">
        <v>4166</v>
      </c>
      <c r="U7" s="15" t="n">
        <v>88</v>
      </c>
      <c r="V7" s="15" t="n">
        <v>2</v>
      </c>
      <c r="W7" s="15" t="s">
        <v>163</v>
      </c>
      <c r="X7" s="15"/>
      <c r="Y7" s="15"/>
      <c r="Z7" s="15" t="s">
        <v>113</v>
      </c>
      <c r="AA7" s="15" t="s">
        <v>113</v>
      </c>
      <c r="AB7" s="15" t="s">
        <v>114</v>
      </c>
      <c r="AC7" s="15" t="s">
        <v>115</v>
      </c>
      <c r="AD7" s="15" t="str">
        <f aca="false">HYPERLINK("https://lmcmic.ca"&amp;B7,"Open")</f>
        <v>Open</v>
      </c>
    </row>
    <row r="8" customFormat="false" ht="35.05" hidden="false" customHeight="false" outlineLevel="0" collapsed="false">
      <c r="A8" s="15" t="n">
        <v>7</v>
      </c>
      <c r="B8" s="15" t="s">
        <v>164</v>
      </c>
      <c r="C8" s="15" t="s">
        <v>165</v>
      </c>
      <c r="D8" s="15" t="s">
        <v>165</v>
      </c>
      <c r="E8" s="15" t="s">
        <v>157</v>
      </c>
      <c r="F8" s="15" t="s">
        <v>166</v>
      </c>
      <c r="G8" s="15" t="n">
        <f aca="false">LEN(F8)</f>
        <v>57</v>
      </c>
      <c r="H8" s="15" t="str">
        <f aca="false">IF(AND(G8&gt;=30,G8&lt;=65),"OK","Review")</f>
        <v>OK</v>
      </c>
      <c r="I8" s="15" t="s">
        <v>167</v>
      </c>
      <c r="J8" s="15" t="n">
        <f aca="false">LEN(I8)</f>
        <v>154</v>
      </c>
      <c r="K8" s="15" t="str">
        <f aca="false">IF(AND(J8&gt;=120,J8&lt;=160),"OK","Review")</f>
        <v>OK</v>
      </c>
      <c r="L8" s="15" t="s">
        <v>168</v>
      </c>
      <c r="M8" s="15"/>
      <c r="N8" s="15"/>
      <c r="O8" s="15"/>
      <c r="P8" s="15" t="s">
        <v>169</v>
      </c>
      <c r="Q8" s="15" t="str">
        <f aca="false">IF(P8="https://lmcmic.ca"&amp;B8,"Yes","No")</f>
        <v>Yes</v>
      </c>
      <c r="R8" s="15" t="s">
        <v>110</v>
      </c>
      <c r="S8" s="15" t="s">
        <v>170</v>
      </c>
      <c r="T8" s="15" t="n">
        <v>386</v>
      </c>
      <c r="U8" s="15" t="n">
        <v>0</v>
      </c>
      <c r="V8" s="15" t="n">
        <v>0</v>
      </c>
      <c r="W8" s="15" t="s">
        <v>171</v>
      </c>
      <c r="X8" s="15"/>
      <c r="Y8" s="15"/>
      <c r="Z8" s="15" t="s">
        <v>113</v>
      </c>
      <c r="AA8" s="15" t="s">
        <v>113</v>
      </c>
      <c r="AB8" s="15" t="s">
        <v>114</v>
      </c>
      <c r="AC8" s="15" t="s">
        <v>115</v>
      </c>
      <c r="AD8" s="15" t="str">
        <f aca="false">HYPERLINK("https://lmcmic.ca"&amp;B8,"Open")</f>
        <v>Open</v>
      </c>
    </row>
    <row r="9" customFormat="false" ht="35.05" hidden="false" customHeight="false" outlineLevel="0" collapsed="false">
      <c r="A9" s="15" t="n">
        <v>8</v>
      </c>
      <c r="B9" s="15" t="s">
        <v>172</v>
      </c>
      <c r="C9" s="15" t="s">
        <v>173</v>
      </c>
      <c r="D9" s="15" t="s">
        <v>174</v>
      </c>
      <c r="E9" s="15" t="s">
        <v>127</v>
      </c>
      <c r="F9" s="15" t="s">
        <v>175</v>
      </c>
      <c r="G9" s="15" t="n">
        <f aca="false">LEN(F9)</f>
        <v>53</v>
      </c>
      <c r="H9" s="15" t="str">
        <f aca="false">IF(AND(G9&gt;=30,G9&lt;=65),"OK","Review")</f>
        <v>OK</v>
      </c>
      <c r="I9" s="15" t="s">
        <v>176</v>
      </c>
      <c r="J9" s="15" t="n">
        <f aca="false">LEN(I9)</f>
        <v>148</v>
      </c>
      <c r="K9" s="15" t="str">
        <f aca="false">IF(AND(J9&gt;=120,J9&lt;=160),"OK","Review")</f>
        <v>OK</v>
      </c>
      <c r="L9" s="15" t="s">
        <v>177</v>
      </c>
      <c r="M9" s="15" t="s">
        <v>178</v>
      </c>
      <c r="N9" s="15" t="s">
        <v>179</v>
      </c>
      <c r="O9" s="15" t="s">
        <v>180</v>
      </c>
      <c r="P9" s="15" t="s">
        <v>181</v>
      </c>
      <c r="Q9" s="15" t="str">
        <f aca="false">IF(P9="https://lmcmic.ca"&amp;B9,"Yes","No")</f>
        <v>Yes</v>
      </c>
      <c r="R9" s="15" t="s">
        <v>110</v>
      </c>
      <c r="S9" s="15" t="s">
        <v>145</v>
      </c>
      <c r="T9" s="15" t="n">
        <v>4923</v>
      </c>
      <c r="U9" s="15" t="n">
        <v>9</v>
      </c>
      <c r="V9" s="15" t="n">
        <v>1</v>
      </c>
      <c r="W9" s="15" t="s">
        <v>182</v>
      </c>
      <c r="X9" s="15"/>
      <c r="Y9" s="15"/>
      <c r="Z9" s="15" t="s">
        <v>113</v>
      </c>
      <c r="AA9" s="15" t="s">
        <v>113</v>
      </c>
      <c r="AB9" s="15" t="s">
        <v>137</v>
      </c>
      <c r="AC9" s="15" t="s">
        <v>115</v>
      </c>
      <c r="AD9" s="15" t="str">
        <f aca="false">HYPERLINK("https://lmcmic.ca"&amp;B9,"Open")</f>
        <v>Open</v>
      </c>
    </row>
    <row r="10" customFormat="false" ht="35.05" hidden="false" customHeight="false" outlineLevel="0" collapsed="false">
      <c r="A10" s="15" t="n">
        <v>9</v>
      </c>
      <c r="B10" s="15" t="s">
        <v>183</v>
      </c>
      <c r="C10" s="15" t="s">
        <v>184</v>
      </c>
      <c r="D10" s="15" t="s">
        <v>185</v>
      </c>
      <c r="E10" s="15" t="s">
        <v>127</v>
      </c>
      <c r="F10" s="15" t="s">
        <v>186</v>
      </c>
      <c r="G10" s="15" t="n">
        <f aca="false">LEN(F10)</f>
        <v>51</v>
      </c>
      <c r="H10" s="15" t="str">
        <f aca="false">IF(AND(G10&gt;=30,G10&lt;=65),"OK","Review")</f>
        <v>OK</v>
      </c>
      <c r="I10" s="15" t="s">
        <v>187</v>
      </c>
      <c r="J10" s="15" t="n">
        <f aca="false">LEN(I10)</f>
        <v>147</v>
      </c>
      <c r="K10" s="15" t="str">
        <f aca="false">IF(AND(J10&gt;=120,J10&lt;=160),"OK","Review")</f>
        <v>OK</v>
      </c>
      <c r="L10" s="15" t="s">
        <v>188</v>
      </c>
      <c r="M10" s="15" t="s">
        <v>189</v>
      </c>
      <c r="N10" s="15" t="s">
        <v>190</v>
      </c>
      <c r="O10" s="15" t="s">
        <v>191</v>
      </c>
      <c r="P10" s="15" t="s">
        <v>192</v>
      </c>
      <c r="Q10" s="15" t="str">
        <f aca="false">IF(P10="https://lmcmic.ca"&amp;B10,"Yes","No")</f>
        <v>Yes</v>
      </c>
      <c r="R10" s="15" t="s">
        <v>110</v>
      </c>
      <c r="S10" s="15" t="s">
        <v>193</v>
      </c>
      <c r="T10" s="15" t="n">
        <v>5022</v>
      </c>
      <c r="U10" s="15" t="n">
        <v>58</v>
      </c>
      <c r="V10" s="15" t="n">
        <v>76</v>
      </c>
      <c r="W10" s="15" t="s">
        <v>194</v>
      </c>
      <c r="X10" s="15"/>
      <c r="Y10" s="15"/>
      <c r="Z10" s="15" t="s">
        <v>113</v>
      </c>
      <c r="AA10" s="15" t="s">
        <v>113</v>
      </c>
      <c r="AB10" s="15" t="s">
        <v>137</v>
      </c>
      <c r="AC10" s="15" t="s">
        <v>115</v>
      </c>
      <c r="AD10" s="15" t="str">
        <f aca="false">HYPERLINK("https://lmcmic.ca"&amp;B10,"Open")</f>
        <v>Open</v>
      </c>
    </row>
    <row r="11" customFormat="false" ht="35.05" hidden="false" customHeight="false" outlineLevel="0" collapsed="false">
      <c r="A11" s="15" t="n">
        <v>10</v>
      </c>
      <c r="B11" s="15" t="s">
        <v>195</v>
      </c>
      <c r="C11" s="15" t="s">
        <v>184</v>
      </c>
      <c r="D11" s="15" t="s">
        <v>196</v>
      </c>
      <c r="E11" s="15" t="s">
        <v>127</v>
      </c>
      <c r="F11" s="15" t="s">
        <v>197</v>
      </c>
      <c r="G11" s="15" t="n">
        <f aca="false">LEN(F11)</f>
        <v>44</v>
      </c>
      <c r="H11" s="15" t="str">
        <f aca="false">IF(AND(G11&gt;=30,G11&lt;=65),"OK","Review")</f>
        <v>OK</v>
      </c>
      <c r="I11" s="15" t="s">
        <v>198</v>
      </c>
      <c r="J11" s="15" t="n">
        <f aca="false">LEN(I11)</f>
        <v>158</v>
      </c>
      <c r="K11" s="15" t="str">
        <f aca="false">IF(AND(J11&gt;=120,J11&lt;=160),"OK","Review")</f>
        <v>OK</v>
      </c>
      <c r="L11" s="15" t="s">
        <v>199</v>
      </c>
      <c r="M11" s="15" t="s">
        <v>200</v>
      </c>
      <c r="N11" s="15" t="s">
        <v>201</v>
      </c>
      <c r="O11" s="15" t="s">
        <v>202</v>
      </c>
      <c r="P11" s="15" t="s">
        <v>203</v>
      </c>
      <c r="Q11" s="15" t="str">
        <f aca="false">IF(P11="https://lmcmic.ca"&amp;B11,"Yes","No")</f>
        <v>Yes</v>
      </c>
      <c r="R11" s="15" t="s">
        <v>110</v>
      </c>
      <c r="S11" s="15" t="s">
        <v>204</v>
      </c>
      <c r="T11" s="15" t="n">
        <v>2952</v>
      </c>
      <c r="U11" s="15" t="n">
        <v>9</v>
      </c>
      <c r="V11" s="15" t="n">
        <v>17</v>
      </c>
      <c r="W11" s="15" t="s">
        <v>205</v>
      </c>
      <c r="X11" s="15"/>
      <c r="Y11" s="15"/>
      <c r="Z11" s="15" t="s">
        <v>113</v>
      </c>
      <c r="AA11" s="15" t="s">
        <v>113</v>
      </c>
      <c r="AB11" s="15" t="s">
        <v>137</v>
      </c>
      <c r="AC11" s="15" t="s">
        <v>115</v>
      </c>
      <c r="AD11" s="15" t="str">
        <f aca="false">HYPERLINK("https://lmcmic.ca"&amp;B11,"Open")</f>
        <v>Open</v>
      </c>
    </row>
    <row r="12" customFormat="false" ht="35.05" hidden="false" customHeight="false" outlineLevel="0" collapsed="false">
      <c r="A12" s="15" t="n">
        <v>11</v>
      </c>
      <c r="B12" s="15" t="s">
        <v>206</v>
      </c>
      <c r="C12" s="15" t="s">
        <v>207</v>
      </c>
      <c r="D12" s="15" t="s">
        <v>208</v>
      </c>
      <c r="E12" s="15" t="s">
        <v>127</v>
      </c>
      <c r="F12" s="15" t="s">
        <v>209</v>
      </c>
      <c r="G12" s="15" t="n">
        <f aca="false">LEN(F12)</f>
        <v>46</v>
      </c>
      <c r="H12" s="15" t="str">
        <f aca="false">IF(AND(G12&gt;=30,G12&lt;=65),"OK","Review")</f>
        <v>OK</v>
      </c>
      <c r="I12" s="15" t="s">
        <v>210</v>
      </c>
      <c r="J12" s="15" t="n">
        <f aca="false">LEN(I12)</f>
        <v>149</v>
      </c>
      <c r="K12" s="15" t="str">
        <f aca="false">IF(AND(J12&gt;=120,J12&lt;=160),"OK","Review")</f>
        <v>OK</v>
      </c>
      <c r="L12" s="15" t="s">
        <v>211</v>
      </c>
      <c r="M12" s="15" t="s">
        <v>212</v>
      </c>
      <c r="N12" s="15" t="s">
        <v>213</v>
      </c>
      <c r="O12" s="15" t="s">
        <v>214</v>
      </c>
      <c r="P12" s="15" t="s">
        <v>215</v>
      </c>
      <c r="Q12" s="15" t="str">
        <f aca="false">IF(P12="https://lmcmic.ca"&amp;B12,"Yes","No")</f>
        <v>Yes</v>
      </c>
      <c r="R12" s="15" t="s">
        <v>110</v>
      </c>
      <c r="S12" s="15" t="s">
        <v>204</v>
      </c>
      <c r="T12" s="15" t="n">
        <v>2948</v>
      </c>
      <c r="U12" s="15" t="n">
        <v>8</v>
      </c>
      <c r="V12" s="15" t="n">
        <v>4</v>
      </c>
      <c r="W12" s="15" t="s">
        <v>216</v>
      </c>
      <c r="X12" s="15"/>
      <c r="Y12" s="15"/>
      <c r="Z12" s="15" t="s">
        <v>113</v>
      </c>
      <c r="AA12" s="15" t="s">
        <v>113</v>
      </c>
      <c r="AB12" s="15" t="s">
        <v>137</v>
      </c>
      <c r="AC12" s="15" t="s">
        <v>115</v>
      </c>
      <c r="AD12" s="15" t="str">
        <f aca="false">HYPERLINK("https://lmcmic.ca"&amp;B12,"Open")</f>
        <v>Open</v>
      </c>
    </row>
    <row r="13" customFormat="false" ht="35.05" hidden="false" customHeight="false" outlineLevel="0" collapsed="false">
      <c r="A13" s="15" t="n">
        <v>12</v>
      </c>
      <c r="B13" s="15" t="s">
        <v>217</v>
      </c>
      <c r="C13" s="15" t="s">
        <v>218</v>
      </c>
      <c r="D13" s="15" t="s">
        <v>219</v>
      </c>
      <c r="E13" s="15" t="s">
        <v>127</v>
      </c>
      <c r="F13" s="15" t="s">
        <v>220</v>
      </c>
      <c r="G13" s="15" t="n">
        <f aca="false">LEN(F13)</f>
        <v>44</v>
      </c>
      <c r="H13" s="15" t="str">
        <f aca="false">IF(AND(G13&gt;=30,G13&lt;=65),"OK","Review")</f>
        <v>OK</v>
      </c>
      <c r="I13" s="15" t="s">
        <v>221</v>
      </c>
      <c r="J13" s="15" t="n">
        <f aca="false">LEN(I13)</f>
        <v>151</v>
      </c>
      <c r="K13" s="15" t="str">
        <f aca="false">IF(AND(J13&gt;=120,J13&lt;=160),"OK","Review")</f>
        <v>OK</v>
      </c>
      <c r="L13" s="15" t="s">
        <v>222</v>
      </c>
      <c r="M13" s="15" t="s">
        <v>223</v>
      </c>
      <c r="N13" s="15" t="s">
        <v>224</v>
      </c>
      <c r="O13" s="15" t="s">
        <v>225</v>
      </c>
      <c r="P13" s="15" t="s">
        <v>226</v>
      </c>
      <c r="Q13" s="15" t="str">
        <f aca="false">IF(P13="https://lmcmic.ca"&amp;B13,"Yes","No")</f>
        <v>Yes</v>
      </c>
      <c r="R13" s="15" t="s">
        <v>110</v>
      </c>
      <c r="S13" s="15" t="s">
        <v>204</v>
      </c>
      <c r="T13" s="15" t="n">
        <v>2754</v>
      </c>
      <c r="U13" s="15" t="n">
        <v>9</v>
      </c>
      <c r="V13" s="15" t="n">
        <v>12</v>
      </c>
      <c r="W13" s="15" t="s">
        <v>227</v>
      </c>
      <c r="X13" s="15"/>
      <c r="Y13" s="15"/>
      <c r="Z13" s="15" t="s">
        <v>113</v>
      </c>
      <c r="AA13" s="15" t="s">
        <v>113</v>
      </c>
      <c r="AB13" s="15" t="s">
        <v>137</v>
      </c>
      <c r="AC13" s="15" t="s">
        <v>115</v>
      </c>
      <c r="AD13" s="15" t="str">
        <f aca="false">HYPERLINK("https://lmcmic.ca"&amp;B13,"Open")</f>
        <v>Open</v>
      </c>
    </row>
    <row r="14" customFormat="false" ht="35.05" hidden="false" customHeight="false" outlineLevel="0" collapsed="false">
      <c r="A14" s="15" t="n">
        <v>13</v>
      </c>
      <c r="B14" s="15" t="s">
        <v>228</v>
      </c>
      <c r="C14" s="15" t="s">
        <v>218</v>
      </c>
      <c r="D14" s="15" t="s">
        <v>219</v>
      </c>
      <c r="E14" s="15" t="s">
        <v>127</v>
      </c>
      <c r="F14" s="15" t="s">
        <v>229</v>
      </c>
      <c r="G14" s="15" t="n">
        <f aca="false">LEN(F14)</f>
        <v>46</v>
      </c>
      <c r="H14" s="15" t="str">
        <f aca="false">IF(AND(G14&gt;=30,G14&lt;=65),"OK","Review")</f>
        <v>OK</v>
      </c>
      <c r="I14" s="15" t="s">
        <v>230</v>
      </c>
      <c r="J14" s="15" t="n">
        <f aca="false">LEN(I14)</f>
        <v>157</v>
      </c>
      <c r="K14" s="15" t="str">
        <f aca="false">IF(AND(J14&gt;=120,J14&lt;=160),"OK","Review")</f>
        <v>OK</v>
      </c>
      <c r="L14" s="15" t="s">
        <v>231</v>
      </c>
      <c r="M14" s="15" t="s">
        <v>232</v>
      </c>
      <c r="N14" s="15" t="s">
        <v>233</v>
      </c>
      <c r="O14" s="15" t="s">
        <v>234</v>
      </c>
      <c r="P14" s="15" t="s">
        <v>235</v>
      </c>
      <c r="Q14" s="15" t="str">
        <f aca="false">IF(P14="https://lmcmic.ca"&amp;B14,"Yes","No")</f>
        <v>Yes</v>
      </c>
      <c r="R14" s="15" t="s">
        <v>110</v>
      </c>
      <c r="S14" s="15" t="s">
        <v>204</v>
      </c>
      <c r="T14" s="15" t="n">
        <v>2172</v>
      </c>
      <c r="U14" s="15" t="n">
        <v>6</v>
      </c>
      <c r="V14" s="15" t="n">
        <v>3</v>
      </c>
      <c r="W14" s="15" t="s">
        <v>236</v>
      </c>
      <c r="X14" s="15"/>
      <c r="Y14" s="15"/>
      <c r="Z14" s="15" t="s">
        <v>113</v>
      </c>
      <c r="AA14" s="15" t="s">
        <v>113</v>
      </c>
      <c r="AB14" s="15" t="s">
        <v>137</v>
      </c>
      <c r="AC14" s="15" t="s">
        <v>115</v>
      </c>
      <c r="AD14" s="15" t="str">
        <f aca="false">HYPERLINK("https://lmcmic.ca"&amp;B14,"Open")</f>
        <v>Open</v>
      </c>
    </row>
    <row r="15" customFormat="false" ht="35.05" hidden="false" customHeight="false" outlineLevel="0" collapsed="false">
      <c r="A15" s="15" t="n">
        <v>14</v>
      </c>
      <c r="B15" s="15" t="s">
        <v>237</v>
      </c>
      <c r="C15" s="15" t="s">
        <v>207</v>
      </c>
      <c r="D15" s="15" t="s">
        <v>219</v>
      </c>
      <c r="E15" s="15" t="s">
        <v>127</v>
      </c>
      <c r="F15" s="15" t="s">
        <v>238</v>
      </c>
      <c r="G15" s="15" t="n">
        <f aca="false">LEN(F15)</f>
        <v>63</v>
      </c>
      <c r="H15" s="15" t="str">
        <f aca="false">IF(AND(G15&gt;=30,G15&lt;=65),"OK","Review")</f>
        <v>OK</v>
      </c>
      <c r="I15" s="15" t="s">
        <v>239</v>
      </c>
      <c r="J15" s="15" t="n">
        <f aca="false">LEN(I15)</f>
        <v>155</v>
      </c>
      <c r="K15" s="15" t="str">
        <f aca="false">IF(AND(J15&gt;=120,J15&lt;=160),"OK","Review")</f>
        <v>OK</v>
      </c>
      <c r="L15" s="15" t="s">
        <v>240</v>
      </c>
      <c r="M15" s="15" t="s">
        <v>241</v>
      </c>
      <c r="N15" s="15" t="s">
        <v>242</v>
      </c>
      <c r="O15" s="15" t="s">
        <v>243</v>
      </c>
      <c r="P15" s="15" t="s">
        <v>244</v>
      </c>
      <c r="Q15" s="15" t="str">
        <f aca="false">IF(P15="https://lmcmic.ca"&amp;B15,"Yes","No")</f>
        <v>Yes</v>
      </c>
      <c r="R15" s="15" t="s">
        <v>110</v>
      </c>
      <c r="S15" s="15" t="s">
        <v>204</v>
      </c>
      <c r="T15" s="15" t="n">
        <v>3265</v>
      </c>
      <c r="U15" s="15" t="n">
        <v>9</v>
      </c>
      <c r="V15" s="15" t="n">
        <v>13</v>
      </c>
      <c r="W15" s="15" t="s">
        <v>245</v>
      </c>
      <c r="X15" s="15"/>
      <c r="Y15" s="15"/>
      <c r="Z15" s="15" t="s">
        <v>113</v>
      </c>
      <c r="AA15" s="15" t="s">
        <v>113</v>
      </c>
      <c r="AB15" s="15" t="s">
        <v>137</v>
      </c>
      <c r="AC15" s="15" t="s">
        <v>115</v>
      </c>
      <c r="AD15" s="15" t="str">
        <f aca="false">HYPERLINK("https://lmcmic.ca"&amp;B15,"Open")</f>
        <v>Open</v>
      </c>
    </row>
    <row r="16" customFormat="false" ht="35.05" hidden="false" customHeight="false" outlineLevel="0" collapsed="false">
      <c r="A16" s="15" t="n">
        <v>15</v>
      </c>
      <c r="B16" s="15" t="s">
        <v>246</v>
      </c>
      <c r="C16" s="15" t="s">
        <v>184</v>
      </c>
      <c r="D16" s="15" t="s">
        <v>247</v>
      </c>
      <c r="E16" s="15" t="s">
        <v>248</v>
      </c>
      <c r="F16" s="15" t="s">
        <v>249</v>
      </c>
      <c r="G16" s="15" t="n">
        <f aca="false">LEN(F16)</f>
        <v>61</v>
      </c>
      <c r="H16" s="15" t="str">
        <f aca="false">IF(AND(G16&gt;=30,G16&lt;=65),"OK","Review")</f>
        <v>OK</v>
      </c>
      <c r="I16" s="15" t="s">
        <v>250</v>
      </c>
      <c r="J16" s="15" t="n">
        <f aca="false">LEN(I16)</f>
        <v>151</v>
      </c>
      <c r="K16" s="15" t="str">
        <f aca="false">IF(AND(J16&gt;=120,J16&lt;=160),"OK","Review")</f>
        <v>OK</v>
      </c>
      <c r="L16" s="15" t="s">
        <v>251</v>
      </c>
      <c r="M16" s="15" t="s">
        <v>252</v>
      </c>
      <c r="N16" s="15" t="s">
        <v>253</v>
      </c>
      <c r="O16" s="15" t="s">
        <v>254</v>
      </c>
      <c r="P16" s="15" t="s">
        <v>255</v>
      </c>
      <c r="Q16" s="15" t="str">
        <f aca="false">IF(P16="https://lmcmic.ca"&amp;B16,"Yes","No")</f>
        <v>Yes</v>
      </c>
      <c r="R16" s="15" t="s">
        <v>110</v>
      </c>
      <c r="S16" s="15" t="s">
        <v>204</v>
      </c>
      <c r="T16" s="15" t="n">
        <v>2433</v>
      </c>
      <c r="U16" s="15" t="n">
        <v>7</v>
      </c>
      <c r="V16" s="15" t="n">
        <v>5</v>
      </c>
      <c r="W16" s="15" t="s">
        <v>256</v>
      </c>
      <c r="X16" s="15"/>
      <c r="Y16" s="15"/>
      <c r="Z16" s="15" t="s">
        <v>113</v>
      </c>
      <c r="AA16" s="15" t="s">
        <v>113</v>
      </c>
      <c r="AB16" s="15" t="s">
        <v>137</v>
      </c>
      <c r="AC16" s="15" t="s">
        <v>115</v>
      </c>
      <c r="AD16" s="15" t="str">
        <f aca="false">HYPERLINK("https://lmcmic.ca"&amp;B16,"Open")</f>
        <v>Open</v>
      </c>
    </row>
    <row r="17" customFormat="false" ht="35.05" hidden="false" customHeight="false" outlineLevel="0" collapsed="false">
      <c r="A17" s="15" t="n">
        <v>16</v>
      </c>
      <c r="B17" s="15" t="s">
        <v>257</v>
      </c>
      <c r="C17" s="15" t="s">
        <v>258</v>
      </c>
      <c r="D17" s="15" t="s">
        <v>174</v>
      </c>
      <c r="E17" s="15" t="s">
        <v>127</v>
      </c>
      <c r="F17" s="15" t="s">
        <v>259</v>
      </c>
      <c r="G17" s="15" t="n">
        <f aca="false">LEN(F17)</f>
        <v>55</v>
      </c>
      <c r="H17" s="15" t="str">
        <f aca="false">IF(AND(G17&gt;=30,G17&lt;=65),"OK","Review")</f>
        <v>OK</v>
      </c>
      <c r="I17" s="15" t="s">
        <v>260</v>
      </c>
      <c r="J17" s="15" t="n">
        <f aca="false">LEN(I17)</f>
        <v>149</v>
      </c>
      <c r="K17" s="15" t="str">
        <f aca="false">IF(AND(J17&gt;=120,J17&lt;=160),"OK","Review")</f>
        <v>OK</v>
      </c>
      <c r="L17" s="15" t="s">
        <v>261</v>
      </c>
      <c r="M17" s="15" t="s">
        <v>262</v>
      </c>
      <c r="N17" s="15" t="s">
        <v>263</v>
      </c>
      <c r="O17" s="15" t="s">
        <v>264</v>
      </c>
      <c r="P17" s="15" t="s">
        <v>265</v>
      </c>
      <c r="Q17" s="15" t="str">
        <f aca="false">IF(P17="https://lmcmic.ca"&amp;B17,"Yes","No")</f>
        <v>Yes</v>
      </c>
      <c r="R17" s="15" t="s">
        <v>110</v>
      </c>
      <c r="S17" s="15" t="s">
        <v>204</v>
      </c>
      <c r="T17" s="15" t="n">
        <v>2718</v>
      </c>
      <c r="U17" s="15" t="n">
        <v>8</v>
      </c>
      <c r="V17" s="15" t="n">
        <v>7</v>
      </c>
      <c r="W17" s="15" t="s">
        <v>266</v>
      </c>
      <c r="X17" s="15"/>
      <c r="Y17" s="15"/>
      <c r="Z17" s="15" t="s">
        <v>113</v>
      </c>
      <c r="AA17" s="15" t="s">
        <v>113</v>
      </c>
      <c r="AB17" s="15" t="s">
        <v>137</v>
      </c>
      <c r="AC17" s="15" t="s">
        <v>115</v>
      </c>
      <c r="AD17" s="15" t="str">
        <f aca="false">HYPERLINK("https://lmcmic.ca"&amp;B17,"Open")</f>
        <v>Open</v>
      </c>
    </row>
    <row r="18" customFormat="false" ht="35.05" hidden="false" customHeight="false" outlineLevel="0" collapsed="false">
      <c r="A18" s="15" t="n">
        <v>17</v>
      </c>
      <c r="B18" s="15" t="s">
        <v>267</v>
      </c>
      <c r="C18" s="15" t="s">
        <v>218</v>
      </c>
      <c r="D18" s="15" t="s">
        <v>268</v>
      </c>
      <c r="E18" s="15" t="s">
        <v>127</v>
      </c>
      <c r="F18" s="15" t="s">
        <v>269</v>
      </c>
      <c r="G18" s="15" t="n">
        <f aca="false">LEN(F18)</f>
        <v>52</v>
      </c>
      <c r="H18" s="15" t="str">
        <f aca="false">IF(AND(G18&gt;=30,G18&lt;=65),"OK","Review")</f>
        <v>OK</v>
      </c>
      <c r="I18" s="15" t="s">
        <v>270</v>
      </c>
      <c r="J18" s="15" t="n">
        <f aca="false">LEN(I18)</f>
        <v>153</v>
      </c>
      <c r="K18" s="15" t="str">
        <f aca="false">IF(AND(J18&gt;=120,J18&lt;=160),"OK","Review")</f>
        <v>OK</v>
      </c>
      <c r="L18" s="15" t="s">
        <v>271</v>
      </c>
      <c r="M18" s="15" t="s">
        <v>272</v>
      </c>
      <c r="N18" s="15" t="s">
        <v>273</v>
      </c>
      <c r="O18" s="15" t="s">
        <v>274</v>
      </c>
      <c r="P18" s="15" t="s">
        <v>275</v>
      </c>
      <c r="Q18" s="15" t="str">
        <f aca="false">IF(P18="https://lmcmic.ca"&amp;B18,"Yes","No")</f>
        <v>Yes</v>
      </c>
      <c r="R18" s="15" t="s">
        <v>110</v>
      </c>
      <c r="S18" s="15" t="s">
        <v>204</v>
      </c>
      <c r="T18" s="15" t="n">
        <v>2904</v>
      </c>
      <c r="U18" s="15" t="n">
        <v>7</v>
      </c>
      <c r="V18" s="15" t="n">
        <v>5</v>
      </c>
      <c r="W18" s="15" t="s">
        <v>276</v>
      </c>
      <c r="X18" s="15"/>
      <c r="Y18" s="15"/>
      <c r="Z18" s="15" t="s">
        <v>113</v>
      </c>
      <c r="AA18" s="15" t="s">
        <v>113</v>
      </c>
      <c r="AB18" s="15" t="s">
        <v>137</v>
      </c>
      <c r="AC18" s="15" t="s">
        <v>115</v>
      </c>
      <c r="AD18" s="15" t="str">
        <f aca="false">HYPERLINK("https://lmcmic.ca"&amp;B18,"Open")</f>
        <v>Open</v>
      </c>
    </row>
    <row r="19" customFormat="false" ht="35.05" hidden="false" customHeight="false" outlineLevel="0" collapsed="false">
      <c r="A19" s="15" t="n">
        <v>18</v>
      </c>
      <c r="B19" s="15" t="s">
        <v>277</v>
      </c>
      <c r="C19" s="15" t="s">
        <v>184</v>
      </c>
      <c r="D19" s="15" t="s">
        <v>247</v>
      </c>
      <c r="E19" s="15" t="s">
        <v>248</v>
      </c>
      <c r="F19" s="15" t="s">
        <v>278</v>
      </c>
      <c r="G19" s="15" t="n">
        <f aca="false">LEN(F19)</f>
        <v>61</v>
      </c>
      <c r="H19" s="15" t="str">
        <f aca="false">IF(AND(G19&gt;=30,G19&lt;=65),"OK","Review")</f>
        <v>OK</v>
      </c>
      <c r="I19" s="15" t="s">
        <v>279</v>
      </c>
      <c r="J19" s="15" t="n">
        <f aca="false">LEN(I19)</f>
        <v>155</v>
      </c>
      <c r="K19" s="15" t="str">
        <f aca="false">IF(AND(J19&gt;=120,J19&lt;=160),"OK","Review")</f>
        <v>OK</v>
      </c>
      <c r="L19" s="15" t="s">
        <v>280</v>
      </c>
      <c r="M19" s="15" t="s">
        <v>281</v>
      </c>
      <c r="N19" s="15" t="s">
        <v>282</v>
      </c>
      <c r="O19" s="15" t="s">
        <v>283</v>
      </c>
      <c r="P19" s="15" t="s">
        <v>284</v>
      </c>
      <c r="Q19" s="15" t="str">
        <f aca="false">IF(P19="https://lmcmic.ca"&amp;B19,"Yes","No")</f>
        <v>Yes</v>
      </c>
      <c r="R19" s="15" t="s">
        <v>110</v>
      </c>
      <c r="S19" s="15" t="s">
        <v>204</v>
      </c>
      <c r="T19" s="15" t="n">
        <v>2540</v>
      </c>
      <c r="U19" s="15" t="n">
        <v>5</v>
      </c>
      <c r="V19" s="15" t="n">
        <v>3</v>
      </c>
      <c r="W19" s="15" t="s">
        <v>285</v>
      </c>
      <c r="X19" s="15"/>
      <c r="Y19" s="15"/>
      <c r="Z19" s="15" t="s">
        <v>113</v>
      </c>
      <c r="AA19" s="15" t="s">
        <v>113</v>
      </c>
      <c r="AB19" s="15" t="s">
        <v>137</v>
      </c>
      <c r="AC19" s="15" t="s">
        <v>115</v>
      </c>
      <c r="AD19" s="15" t="str">
        <f aca="false">HYPERLINK("https://lmcmic.ca"&amp;B19,"Open")</f>
        <v>Open</v>
      </c>
    </row>
    <row r="20" customFormat="false" ht="35.05" hidden="false" customHeight="false" outlineLevel="0" collapsed="false">
      <c r="A20" s="15" t="n">
        <v>19</v>
      </c>
      <c r="B20" s="15" t="s">
        <v>286</v>
      </c>
      <c r="C20" s="15" t="s">
        <v>207</v>
      </c>
      <c r="D20" s="15" t="s">
        <v>247</v>
      </c>
      <c r="E20" s="15" t="s">
        <v>127</v>
      </c>
      <c r="F20" s="15" t="s">
        <v>287</v>
      </c>
      <c r="G20" s="15" t="n">
        <f aca="false">LEN(F20)</f>
        <v>54</v>
      </c>
      <c r="H20" s="15" t="str">
        <f aca="false">IF(AND(G20&gt;=30,G20&lt;=65),"OK","Review")</f>
        <v>OK</v>
      </c>
      <c r="I20" s="15" t="s">
        <v>288</v>
      </c>
      <c r="J20" s="15" t="n">
        <f aca="false">LEN(I20)</f>
        <v>156</v>
      </c>
      <c r="K20" s="15" t="str">
        <f aca="false">IF(AND(J20&gt;=120,J20&lt;=160),"OK","Review")</f>
        <v>OK</v>
      </c>
      <c r="L20" s="15" t="s">
        <v>289</v>
      </c>
      <c r="M20" s="15" t="s">
        <v>290</v>
      </c>
      <c r="N20" s="15" t="s">
        <v>291</v>
      </c>
      <c r="O20" s="15" t="s">
        <v>292</v>
      </c>
      <c r="P20" s="15" t="s">
        <v>293</v>
      </c>
      <c r="Q20" s="15" t="str">
        <f aca="false">IF(P20="https://lmcmic.ca"&amp;B20,"Yes","No")</f>
        <v>Yes</v>
      </c>
      <c r="R20" s="15" t="s">
        <v>110</v>
      </c>
      <c r="S20" s="15" t="s">
        <v>204</v>
      </c>
      <c r="T20" s="15" t="n">
        <v>3385</v>
      </c>
      <c r="U20" s="15" t="n">
        <v>8</v>
      </c>
      <c r="V20" s="15" t="n">
        <v>5</v>
      </c>
      <c r="W20" s="15" t="s">
        <v>294</v>
      </c>
      <c r="X20" s="15"/>
      <c r="Y20" s="15"/>
      <c r="Z20" s="15" t="s">
        <v>113</v>
      </c>
      <c r="AA20" s="15" t="s">
        <v>113</v>
      </c>
      <c r="AB20" s="15" t="s">
        <v>137</v>
      </c>
      <c r="AC20" s="15" t="s">
        <v>115</v>
      </c>
      <c r="AD20" s="15" t="str">
        <f aca="false">HYPERLINK("https://lmcmic.ca"&amp;B20,"Open")</f>
        <v>Open</v>
      </c>
    </row>
    <row r="21" customFormat="false" ht="35.05" hidden="false" customHeight="false" outlineLevel="0" collapsed="false">
      <c r="A21" s="15" t="n">
        <v>20</v>
      </c>
      <c r="B21" s="15" t="s">
        <v>295</v>
      </c>
      <c r="C21" s="15" t="s">
        <v>184</v>
      </c>
      <c r="D21" s="15" t="s">
        <v>196</v>
      </c>
      <c r="E21" s="15" t="s">
        <v>248</v>
      </c>
      <c r="F21" s="15" t="s">
        <v>296</v>
      </c>
      <c r="G21" s="15" t="n">
        <f aca="false">LEN(F21)</f>
        <v>65</v>
      </c>
      <c r="H21" s="15" t="str">
        <f aca="false">IF(AND(G21&gt;=30,G21&lt;=65),"OK","Review")</f>
        <v>OK</v>
      </c>
      <c r="I21" s="15" t="s">
        <v>297</v>
      </c>
      <c r="J21" s="15" t="n">
        <f aca="false">LEN(I21)</f>
        <v>158</v>
      </c>
      <c r="K21" s="15" t="str">
        <f aca="false">IF(AND(J21&gt;=120,J21&lt;=160),"OK","Review")</f>
        <v>OK</v>
      </c>
      <c r="L21" s="15" t="s">
        <v>298</v>
      </c>
      <c r="M21" s="15" t="s">
        <v>299</v>
      </c>
      <c r="N21" s="15" t="s">
        <v>300</v>
      </c>
      <c r="O21" s="15" t="s">
        <v>301</v>
      </c>
      <c r="P21" s="15" t="s">
        <v>302</v>
      </c>
      <c r="Q21" s="15" t="str">
        <f aca="false">IF(P21="https://lmcmic.ca"&amp;B21,"Yes","No")</f>
        <v>Yes</v>
      </c>
      <c r="R21" s="15" t="s">
        <v>110</v>
      </c>
      <c r="S21" s="15" t="s">
        <v>204</v>
      </c>
      <c r="T21" s="15" t="n">
        <v>2726</v>
      </c>
      <c r="U21" s="15" t="n">
        <v>8</v>
      </c>
      <c r="V21" s="15" t="n">
        <v>4</v>
      </c>
      <c r="W21" s="15" t="s">
        <v>303</v>
      </c>
      <c r="X21" s="15"/>
      <c r="Y21" s="15"/>
      <c r="Z21" s="15" t="s">
        <v>113</v>
      </c>
      <c r="AA21" s="15" t="s">
        <v>113</v>
      </c>
      <c r="AB21" s="15" t="s">
        <v>137</v>
      </c>
      <c r="AC21" s="15" t="s">
        <v>115</v>
      </c>
      <c r="AD21" s="15" t="str">
        <f aca="false">HYPERLINK("https://lmcmic.ca"&amp;B21,"Open")</f>
        <v>Open</v>
      </c>
    </row>
    <row r="22" customFormat="false" ht="35.05" hidden="false" customHeight="false" outlineLevel="0" collapsed="false">
      <c r="A22" s="15" t="n">
        <v>21</v>
      </c>
      <c r="B22" s="15" t="s">
        <v>304</v>
      </c>
      <c r="C22" s="15" t="s">
        <v>218</v>
      </c>
      <c r="D22" s="15" t="s">
        <v>219</v>
      </c>
      <c r="E22" s="15" t="s">
        <v>127</v>
      </c>
      <c r="F22" s="15" t="s">
        <v>305</v>
      </c>
      <c r="G22" s="15" t="n">
        <f aca="false">LEN(F22)</f>
        <v>65</v>
      </c>
      <c r="H22" s="15" t="str">
        <f aca="false">IF(AND(G22&gt;=30,G22&lt;=65),"OK","Review")</f>
        <v>OK</v>
      </c>
      <c r="I22" s="15" t="s">
        <v>306</v>
      </c>
      <c r="J22" s="15" t="n">
        <f aca="false">LEN(I22)</f>
        <v>156</v>
      </c>
      <c r="K22" s="15" t="str">
        <f aca="false">IF(AND(J22&gt;=120,J22&lt;=160),"OK","Review")</f>
        <v>OK</v>
      </c>
      <c r="L22" s="15" t="s">
        <v>307</v>
      </c>
      <c r="M22" s="15" t="s">
        <v>308</v>
      </c>
      <c r="N22" s="15" t="s">
        <v>309</v>
      </c>
      <c r="O22" s="15" t="s">
        <v>310</v>
      </c>
      <c r="P22" s="15" t="s">
        <v>311</v>
      </c>
      <c r="Q22" s="15" t="str">
        <f aca="false">IF(P22="https://lmcmic.ca"&amp;B22,"Yes","No")</f>
        <v>Yes</v>
      </c>
      <c r="R22" s="15" t="s">
        <v>110</v>
      </c>
      <c r="S22" s="15" t="s">
        <v>204</v>
      </c>
      <c r="T22" s="15" t="n">
        <v>3169</v>
      </c>
      <c r="U22" s="15" t="n">
        <v>7</v>
      </c>
      <c r="V22" s="15" t="n">
        <v>7</v>
      </c>
      <c r="W22" s="15" t="s">
        <v>312</v>
      </c>
      <c r="X22" s="15"/>
      <c r="Y22" s="15"/>
      <c r="Z22" s="15" t="s">
        <v>113</v>
      </c>
      <c r="AA22" s="15" t="s">
        <v>113</v>
      </c>
      <c r="AB22" s="15" t="s">
        <v>137</v>
      </c>
      <c r="AC22" s="15" t="s">
        <v>115</v>
      </c>
      <c r="AD22" s="15" t="str">
        <f aca="false">HYPERLINK("https://lmcmic.ca"&amp;B22,"Open")</f>
        <v>Open</v>
      </c>
    </row>
    <row r="23" customFormat="false" ht="35.05" hidden="false" customHeight="false" outlineLevel="0" collapsed="false">
      <c r="A23" s="15" t="n">
        <v>22</v>
      </c>
      <c r="B23" s="15" t="s">
        <v>313</v>
      </c>
      <c r="C23" s="15" t="s">
        <v>184</v>
      </c>
      <c r="D23" s="15" t="s">
        <v>247</v>
      </c>
      <c r="E23" s="15" t="s">
        <v>248</v>
      </c>
      <c r="F23" s="15" t="s">
        <v>314</v>
      </c>
      <c r="G23" s="15" t="n">
        <f aca="false">LEN(F23)</f>
        <v>64</v>
      </c>
      <c r="H23" s="15" t="str">
        <f aca="false">IF(AND(G23&gt;=30,G23&lt;=65),"OK","Review")</f>
        <v>OK</v>
      </c>
      <c r="I23" s="15" t="s">
        <v>315</v>
      </c>
      <c r="J23" s="15" t="n">
        <f aca="false">LEN(I23)</f>
        <v>155</v>
      </c>
      <c r="K23" s="15" t="str">
        <f aca="false">IF(AND(J23&gt;=120,J23&lt;=160),"OK","Review")</f>
        <v>OK</v>
      </c>
      <c r="L23" s="15" t="s">
        <v>316</v>
      </c>
      <c r="M23" s="15" t="s">
        <v>317</v>
      </c>
      <c r="N23" s="15" t="s">
        <v>318</v>
      </c>
      <c r="O23" s="15" t="s">
        <v>319</v>
      </c>
      <c r="P23" s="15" t="s">
        <v>320</v>
      </c>
      <c r="Q23" s="15" t="str">
        <f aca="false">IF(P23="https://lmcmic.ca"&amp;B23,"Yes","No")</f>
        <v>Yes</v>
      </c>
      <c r="R23" s="15" t="s">
        <v>110</v>
      </c>
      <c r="S23" s="15" t="s">
        <v>204</v>
      </c>
      <c r="T23" s="15" t="n">
        <v>2862</v>
      </c>
      <c r="U23" s="15" t="n">
        <v>6</v>
      </c>
      <c r="V23" s="15" t="n">
        <v>2</v>
      </c>
      <c r="W23" s="15" t="s">
        <v>321</v>
      </c>
      <c r="X23" s="15"/>
      <c r="Y23" s="15"/>
      <c r="Z23" s="15" t="s">
        <v>113</v>
      </c>
      <c r="AA23" s="15" t="s">
        <v>113</v>
      </c>
      <c r="AB23" s="15" t="s">
        <v>137</v>
      </c>
      <c r="AC23" s="15" t="s">
        <v>115</v>
      </c>
      <c r="AD23" s="15" t="str">
        <f aca="false">HYPERLINK("https://lmcmic.ca"&amp;B23,"Open")</f>
        <v>Open</v>
      </c>
    </row>
    <row r="24" customFormat="false" ht="35.05" hidden="false" customHeight="false" outlineLevel="0" collapsed="false">
      <c r="A24" s="15" t="n">
        <v>23</v>
      </c>
      <c r="B24" s="15" t="s">
        <v>322</v>
      </c>
      <c r="C24" s="15" t="s">
        <v>184</v>
      </c>
      <c r="D24" s="15" t="s">
        <v>247</v>
      </c>
      <c r="E24" s="15" t="s">
        <v>127</v>
      </c>
      <c r="F24" s="15" t="s">
        <v>323</v>
      </c>
      <c r="G24" s="15" t="n">
        <f aca="false">LEN(F24)</f>
        <v>54</v>
      </c>
      <c r="H24" s="15" t="str">
        <f aca="false">IF(AND(G24&gt;=30,G24&lt;=65),"OK","Review")</f>
        <v>OK</v>
      </c>
      <c r="I24" s="15" t="s">
        <v>324</v>
      </c>
      <c r="J24" s="15" t="n">
        <f aca="false">LEN(I24)</f>
        <v>158</v>
      </c>
      <c r="K24" s="15" t="str">
        <f aca="false">IF(AND(J24&gt;=120,J24&lt;=160),"OK","Review")</f>
        <v>OK</v>
      </c>
      <c r="L24" s="15" t="s">
        <v>325</v>
      </c>
      <c r="M24" s="15" t="s">
        <v>326</v>
      </c>
      <c r="N24" s="15" t="s">
        <v>327</v>
      </c>
      <c r="O24" s="15" t="s">
        <v>328</v>
      </c>
      <c r="P24" s="15" t="s">
        <v>329</v>
      </c>
      <c r="Q24" s="15" t="str">
        <f aca="false">IF(P24="https://lmcmic.ca"&amp;B24,"Yes","No")</f>
        <v>Yes</v>
      </c>
      <c r="R24" s="15" t="s">
        <v>110</v>
      </c>
      <c r="S24" s="15" t="s">
        <v>204</v>
      </c>
      <c r="T24" s="15" t="n">
        <v>3084</v>
      </c>
      <c r="U24" s="15" t="n">
        <v>8</v>
      </c>
      <c r="V24" s="15" t="n">
        <v>8</v>
      </c>
      <c r="W24" s="15" t="s">
        <v>330</v>
      </c>
      <c r="X24" s="15"/>
      <c r="Y24" s="15"/>
      <c r="Z24" s="15" t="s">
        <v>113</v>
      </c>
      <c r="AA24" s="15" t="s">
        <v>113</v>
      </c>
      <c r="AB24" s="15" t="s">
        <v>137</v>
      </c>
      <c r="AC24" s="15" t="s">
        <v>115</v>
      </c>
      <c r="AD24" s="15" t="str">
        <f aca="false">HYPERLINK("https://lmcmic.ca"&amp;B24,"Open")</f>
        <v>Open</v>
      </c>
    </row>
    <row r="25" customFormat="false" ht="35.05" hidden="false" customHeight="false" outlineLevel="0" collapsed="false">
      <c r="A25" s="15" t="n">
        <v>24</v>
      </c>
      <c r="B25" s="15" t="s">
        <v>331</v>
      </c>
      <c r="C25" s="15" t="s">
        <v>184</v>
      </c>
      <c r="D25" s="15" t="s">
        <v>196</v>
      </c>
      <c r="E25" s="15" t="s">
        <v>248</v>
      </c>
      <c r="F25" s="15" t="s">
        <v>332</v>
      </c>
      <c r="G25" s="15" t="n">
        <f aca="false">LEN(F25)</f>
        <v>64</v>
      </c>
      <c r="H25" s="15" t="str">
        <f aca="false">IF(AND(G25&gt;=30,G25&lt;=65),"OK","Review")</f>
        <v>OK</v>
      </c>
      <c r="I25" s="15" t="s">
        <v>333</v>
      </c>
      <c r="J25" s="15" t="n">
        <f aca="false">LEN(I25)</f>
        <v>153</v>
      </c>
      <c r="K25" s="15" t="str">
        <f aca="false">IF(AND(J25&gt;=120,J25&lt;=160),"OK","Review")</f>
        <v>OK</v>
      </c>
      <c r="L25" s="15" t="s">
        <v>334</v>
      </c>
      <c r="M25" s="15" t="s">
        <v>335</v>
      </c>
      <c r="N25" s="15" t="s">
        <v>336</v>
      </c>
      <c r="O25" s="15" t="s">
        <v>337</v>
      </c>
      <c r="P25" s="15" t="s">
        <v>338</v>
      </c>
      <c r="Q25" s="15" t="str">
        <f aca="false">IF(P25="https://lmcmic.ca"&amp;B25,"Yes","No")</f>
        <v>Yes</v>
      </c>
      <c r="R25" s="15" t="s">
        <v>110</v>
      </c>
      <c r="S25" s="15" t="s">
        <v>204</v>
      </c>
      <c r="T25" s="15" t="n">
        <v>2679</v>
      </c>
      <c r="U25" s="15" t="n">
        <v>9</v>
      </c>
      <c r="V25" s="15" t="n">
        <v>13</v>
      </c>
      <c r="W25" s="15" t="s">
        <v>339</v>
      </c>
      <c r="X25" s="15"/>
      <c r="Y25" s="15"/>
      <c r="Z25" s="15" t="s">
        <v>113</v>
      </c>
      <c r="AA25" s="15" t="s">
        <v>113</v>
      </c>
      <c r="AB25" s="15" t="s">
        <v>137</v>
      </c>
      <c r="AC25" s="15" t="s">
        <v>115</v>
      </c>
      <c r="AD25" s="15" t="str">
        <f aca="false">HYPERLINK("https://lmcmic.ca"&amp;B25,"Open")</f>
        <v>Open</v>
      </c>
    </row>
    <row r="26" customFormat="false" ht="35.05" hidden="false" customHeight="false" outlineLevel="0" collapsed="false">
      <c r="A26" s="15" t="n">
        <v>25</v>
      </c>
      <c r="B26" s="15" t="s">
        <v>340</v>
      </c>
      <c r="C26" s="15" t="s">
        <v>184</v>
      </c>
      <c r="D26" s="15" t="s">
        <v>247</v>
      </c>
      <c r="E26" s="15" t="s">
        <v>127</v>
      </c>
      <c r="F26" s="15" t="s">
        <v>341</v>
      </c>
      <c r="G26" s="15" t="n">
        <f aca="false">LEN(F26)</f>
        <v>58</v>
      </c>
      <c r="H26" s="15" t="str">
        <f aca="false">IF(AND(G26&gt;=30,G26&lt;=65),"OK","Review")</f>
        <v>OK</v>
      </c>
      <c r="I26" s="15" t="s">
        <v>342</v>
      </c>
      <c r="J26" s="15" t="n">
        <f aca="false">LEN(I26)</f>
        <v>156</v>
      </c>
      <c r="K26" s="15" t="str">
        <f aca="false">IF(AND(J26&gt;=120,J26&lt;=160),"OK","Review")</f>
        <v>OK</v>
      </c>
      <c r="L26" s="15" t="s">
        <v>343</v>
      </c>
      <c r="M26" s="15" t="s">
        <v>344</v>
      </c>
      <c r="N26" s="15" t="s">
        <v>345</v>
      </c>
      <c r="O26" s="15" t="s">
        <v>346</v>
      </c>
      <c r="P26" s="15" t="s">
        <v>347</v>
      </c>
      <c r="Q26" s="15" t="str">
        <f aca="false">IF(P26="https://lmcmic.ca"&amp;B26,"Yes","No")</f>
        <v>Yes</v>
      </c>
      <c r="R26" s="15" t="s">
        <v>110</v>
      </c>
      <c r="S26" s="15" t="s">
        <v>204</v>
      </c>
      <c r="T26" s="15" t="n">
        <v>2424</v>
      </c>
      <c r="U26" s="15" t="n">
        <v>7</v>
      </c>
      <c r="V26" s="15" t="n">
        <v>4</v>
      </c>
      <c r="W26" s="15" t="s">
        <v>348</v>
      </c>
      <c r="X26" s="15"/>
      <c r="Y26" s="15"/>
      <c r="Z26" s="15" t="s">
        <v>113</v>
      </c>
      <c r="AA26" s="15" t="s">
        <v>113</v>
      </c>
      <c r="AB26" s="15" t="s">
        <v>137</v>
      </c>
      <c r="AC26" s="15" t="s">
        <v>115</v>
      </c>
      <c r="AD26" s="15" t="str">
        <f aca="false">HYPERLINK("https://lmcmic.ca"&amp;B26,"Open")</f>
        <v>Open</v>
      </c>
    </row>
    <row r="27" customFormat="false" ht="35.05" hidden="false" customHeight="false" outlineLevel="0" collapsed="false">
      <c r="A27" s="15" t="n">
        <v>26</v>
      </c>
      <c r="B27" s="15" t="s">
        <v>349</v>
      </c>
      <c r="C27" s="15" t="s">
        <v>350</v>
      </c>
      <c r="D27" s="15" t="s">
        <v>208</v>
      </c>
      <c r="E27" s="15" t="s">
        <v>127</v>
      </c>
      <c r="F27" s="15" t="s">
        <v>351</v>
      </c>
      <c r="G27" s="15" t="n">
        <f aca="false">LEN(F27)</f>
        <v>55</v>
      </c>
      <c r="H27" s="15" t="str">
        <f aca="false">IF(AND(G27&gt;=30,G27&lt;=65),"OK","Review")</f>
        <v>OK</v>
      </c>
      <c r="I27" s="15" t="s">
        <v>352</v>
      </c>
      <c r="J27" s="15" t="n">
        <f aca="false">LEN(I27)</f>
        <v>156</v>
      </c>
      <c r="K27" s="15" t="str">
        <f aca="false">IF(AND(J27&gt;=120,J27&lt;=160),"OK","Review")</f>
        <v>OK</v>
      </c>
      <c r="L27" s="15" t="s">
        <v>353</v>
      </c>
      <c r="M27" s="15" t="s">
        <v>354</v>
      </c>
      <c r="N27" s="15" t="s">
        <v>355</v>
      </c>
      <c r="O27" s="15" t="s">
        <v>356</v>
      </c>
      <c r="P27" s="15" t="s">
        <v>357</v>
      </c>
      <c r="Q27" s="15" t="str">
        <f aca="false">IF(P27="https://lmcmic.ca"&amp;B27,"Yes","No")</f>
        <v>Yes</v>
      </c>
      <c r="R27" s="15" t="s">
        <v>110</v>
      </c>
      <c r="S27" s="15" t="s">
        <v>204</v>
      </c>
      <c r="T27" s="15" t="n">
        <v>3474</v>
      </c>
      <c r="U27" s="15" t="n">
        <v>8</v>
      </c>
      <c r="V27" s="15" t="n">
        <v>13</v>
      </c>
      <c r="W27" s="15" t="s">
        <v>358</v>
      </c>
      <c r="X27" s="15"/>
      <c r="Y27" s="15"/>
      <c r="Z27" s="15" t="s">
        <v>113</v>
      </c>
      <c r="AA27" s="15" t="s">
        <v>113</v>
      </c>
      <c r="AB27" s="15" t="s">
        <v>137</v>
      </c>
      <c r="AC27" s="15" t="s">
        <v>115</v>
      </c>
      <c r="AD27" s="15" t="str">
        <f aca="false">HYPERLINK("https://lmcmic.ca"&amp;B27,"Open")</f>
        <v>Open</v>
      </c>
    </row>
    <row r="28" customFormat="false" ht="35.05" hidden="false" customHeight="false" outlineLevel="0" collapsed="false">
      <c r="A28" s="15" t="n">
        <v>27</v>
      </c>
      <c r="B28" s="15" t="s">
        <v>359</v>
      </c>
      <c r="C28" s="15" t="s">
        <v>350</v>
      </c>
      <c r="D28" s="15" t="s">
        <v>208</v>
      </c>
      <c r="E28" s="15" t="s">
        <v>360</v>
      </c>
      <c r="F28" s="15" t="s">
        <v>361</v>
      </c>
      <c r="G28" s="15" t="n">
        <f aca="false">LEN(F28)</f>
        <v>48</v>
      </c>
      <c r="H28" s="15" t="str">
        <f aca="false">IF(AND(G28&gt;=30,G28&lt;=65),"OK","Review")</f>
        <v>OK</v>
      </c>
      <c r="I28" s="15" t="s">
        <v>362</v>
      </c>
      <c r="J28" s="15" t="n">
        <f aca="false">LEN(I28)</f>
        <v>153</v>
      </c>
      <c r="K28" s="15" t="str">
        <f aca="false">IF(AND(J28&gt;=120,J28&lt;=160),"OK","Review")</f>
        <v>OK</v>
      </c>
      <c r="L28" s="15" t="s">
        <v>361</v>
      </c>
      <c r="M28" s="15" t="s">
        <v>363</v>
      </c>
      <c r="N28" s="15" t="s">
        <v>364</v>
      </c>
      <c r="O28" s="15" t="s">
        <v>365</v>
      </c>
      <c r="P28" s="15" t="s">
        <v>366</v>
      </c>
      <c r="Q28" s="15" t="str">
        <f aca="false">IF(P28="https://lmcmic.ca"&amp;B28,"Yes","No")</f>
        <v>Yes</v>
      </c>
      <c r="R28" s="15" t="s">
        <v>110</v>
      </c>
      <c r="S28" s="15" t="s">
        <v>204</v>
      </c>
      <c r="T28" s="15" t="n">
        <v>2216</v>
      </c>
      <c r="U28" s="15" t="n">
        <v>6</v>
      </c>
      <c r="V28" s="15" t="n">
        <v>2</v>
      </c>
      <c r="W28" s="15" t="s">
        <v>367</v>
      </c>
      <c r="X28" s="15"/>
      <c r="Y28" s="15"/>
      <c r="Z28" s="15" t="s">
        <v>113</v>
      </c>
      <c r="AA28" s="15" t="s">
        <v>113</v>
      </c>
      <c r="AB28" s="15" t="s">
        <v>137</v>
      </c>
      <c r="AC28" s="15" t="s">
        <v>115</v>
      </c>
      <c r="AD28" s="15" t="str">
        <f aca="false">HYPERLINK("https://lmcmic.ca"&amp;B28,"Open")</f>
        <v>Open</v>
      </c>
    </row>
    <row r="29" customFormat="false" ht="35.05" hidden="false" customHeight="false" outlineLevel="0" collapsed="false">
      <c r="A29" s="15" t="n">
        <v>28</v>
      </c>
      <c r="B29" s="15" t="s">
        <v>368</v>
      </c>
      <c r="C29" s="15" t="s">
        <v>184</v>
      </c>
      <c r="D29" s="15" t="s">
        <v>247</v>
      </c>
      <c r="E29" s="15" t="s">
        <v>248</v>
      </c>
      <c r="F29" s="15" t="s">
        <v>369</v>
      </c>
      <c r="G29" s="15" t="n">
        <f aca="false">LEN(F29)</f>
        <v>54</v>
      </c>
      <c r="H29" s="15" t="str">
        <f aca="false">IF(AND(G29&gt;=30,G29&lt;=65),"OK","Review")</f>
        <v>OK</v>
      </c>
      <c r="I29" s="15" t="s">
        <v>370</v>
      </c>
      <c r="J29" s="15" t="n">
        <f aca="false">LEN(I29)</f>
        <v>156</v>
      </c>
      <c r="K29" s="15" t="str">
        <f aca="false">IF(AND(J29&gt;=120,J29&lt;=160),"OK","Review")</f>
        <v>OK</v>
      </c>
      <c r="L29" s="15" t="s">
        <v>371</v>
      </c>
      <c r="M29" s="15" t="s">
        <v>372</v>
      </c>
      <c r="N29" s="15" t="s">
        <v>373</v>
      </c>
      <c r="O29" s="15" t="s">
        <v>374</v>
      </c>
      <c r="P29" s="15" t="s">
        <v>375</v>
      </c>
      <c r="Q29" s="15" t="str">
        <f aca="false">IF(P29="https://lmcmic.ca"&amp;B29,"Yes","No")</f>
        <v>Yes</v>
      </c>
      <c r="R29" s="15" t="s">
        <v>110</v>
      </c>
      <c r="S29" s="15" t="s">
        <v>204</v>
      </c>
      <c r="T29" s="15" t="n">
        <v>2641</v>
      </c>
      <c r="U29" s="15" t="n">
        <v>8</v>
      </c>
      <c r="V29" s="15" t="n">
        <v>7</v>
      </c>
      <c r="W29" s="15" t="s">
        <v>376</v>
      </c>
      <c r="X29" s="15"/>
      <c r="Y29" s="15"/>
      <c r="Z29" s="15" t="s">
        <v>113</v>
      </c>
      <c r="AA29" s="15" t="s">
        <v>113</v>
      </c>
      <c r="AB29" s="15" t="s">
        <v>137</v>
      </c>
      <c r="AC29" s="15" t="s">
        <v>115</v>
      </c>
      <c r="AD29" s="15" t="str">
        <f aca="false">HYPERLINK("https://lmcmic.ca"&amp;B29,"Open")</f>
        <v>Open</v>
      </c>
    </row>
    <row r="30" customFormat="false" ht="35.05" hidden="false" customHeight="false" outlineLevel="0" collapsed="false">
      <c r="A30" s="15" t="n">
        <v>29</v>
      </c>
      <c r="B30" s="15" t="s">
        <v>377</v>
      </c>
      <c r="C30" s="15" t="s">
        <v>207</v>
      </c>
      <c r="D30" s="15" t="s">
        <v>268</v>
      </c>
      <c r="E30" s="15" t="s">
        <v>127</v>
      </c>
      <c r="F30" s="15" t="s">
        <v>378</v>
      </c>
      <c r="G30" s="15" t="n">
        <f aca="false">LEN(F30)</f>
        <v>49</v>
      </c>
      <c r="H30" s="15" t="str">
        <f aca="false">IF(AND(G30&gt;=30,G30&lt;=65),"OK","Review")</f>
        <v>OK</v>
      </c>
      <c r="I30" s="15" t="s">
        <v>379</v>
      </c>
      <c r="J30" s="15" t="n">
        <f aca="false">LEN(I30)</f>
        <v>152</v>
      </c>
      <c r="K30" s="15" t="str">
        <f aca="false">IF(AND(J30&gt;=120,J30&lt;=160),"OK","Review")</f>
        <v>OK</v>
      </c>
      <c r="L30" s="15" t="s">
        <v>380</v>
      </c>
      <c r="M30" s="15" t="s">
        <v>381</v>
      </c>
      <c r="N30" s="15" t="s">
        <v>382</v>
      </c>
      <c r="O30" s="15" t="s">
        <v>383</v>
      </c>
      <c r="P30" s="15" t="s">
        <v>384</v>
      </c>
      <c r="Q30" s="15" t="str">
        <f aca="false">IF(P30="https://lmcmic.ca"&amp;B30,"Yes","No")</f>
        <v>Yes</v>
      </c>
      <c r="R30" s="15" t="s">
        <v>110</v>
      </c>
      <c r="S30" s="15" t="s">
        <v>204</v>
      </c>
      <c r="T30" s="15" t="n">
        <v>3143</v>
      </c>
      <c r="U30" s="15" t="n">
        <v>8</v>
      </c>
      <c r="V30" s="15" t="n">
        <v>7</v>
      </c>
      <c r="W30" s="15" t="s">
        <v>385</v>
      </c>
      <c r="X30" s="15"/>
      <c r="Y30" s="15"/>
      <c r="Z30" s="15" t="s">
        <v>113</v>
      </c>
      <c r="AA30" s="15" t="s">
        <v>113</v>
      </c>
      <c r="AB30" s="15" t="s">
        <v>137</v>
      </c>
      <c r="AC30" s="15" t="s">
        <v>115</v>
      </c>
      <c r="AD30" s="15" t="str">
        <f aca="false">HYPERLINK("https://lmcmic.ca"&amp;B30,"Open")</f>
        <v>Open</v>
      </c>
    </row>
    <row r="31" customFormat="false" ht="35.05" hidden="false" customHeight="false" outlineLevel="0" collapsed="false">
      <c r="A31" s="15" t="n">
        <v>30</v>
      </c>
      <c r="B31" s="15" t="s">
        <v>386</v>
      </c>
      <c r="C31" s="15" t="s">
        <v>218</v>
      </c>
      <c r="D31" s="15" t="s">
        <v>185</v>
      </c>
      <c r="E31" s="15" t="s">
        <v>248</v>
      </c>
      <c r="F31" s="15" t="s">
        <v>387</v>
      </c>
      <c r="G31" s="15" t="n">
        <f aca="false">LEN(F31)</f>
        <v>44</v>
      </c>
      <c r="H31" s="15" t="str">
        <f aca="false">IF(AND(G31&gt;=30,G31&lt;=65),"OK","Review")</f>
        <v>OK</v>
      </c>
      <c r="I31" s="15" t="s">
        <v>388</v>
      </c>
      <c r="J31" s="15" t="n">
        <f aca="false">LEN(I31)</f>
        <v>158</v>
      </c>
      <c r="K31" s="15" t="str">
        <f aca="false">IF(AND(J31&gt;=120,J31&lt;=160),"OK","Review")</f>
        <v>OK</v>
      </c>
      <c r="L31" s="15" t="s">
        <v>389</v>
      </c>
      <c r="M31" s="15" t="s">
        <v>390</v>
      </c>
      <c r="N31" s="15" t="s">
        <v>391</v>
      </c>
      <c r="O31" s="15" t="s">
        <v>392</v>
      </c>
      <c r="P31" s="15" t="s">
        <v>393</v>
      </c>
      <c r="Q31" s="15" t="str">
        <f aca="false">IF(P31="https://lmcmic.ca"&amp;B31,"Yes","No")</f>
        <v>Yes</v>
      </c>
      <c r="R31" s="15" t="s">
        <v>110</v>
      </c>
      <c r="S31" s="15" t="s">
        <v>204</v>
      </c>
      <c r="T31" s="15" t="n">
        <v>2274</v>
      </c>
      <c r="U31" s="15" t="n">
        <v>7</v>
      </c>
      <c r="V31" s="15" t="n">
        <v>4</v>
      </c>
      <c r="W31" s="15" t="s">
        <v>394</v>
      </c>
      <c r="X31" s="15"/>
      <c r="Y31" s="15"/>
      <c r="Z31" s="15" t="s">
        <v>113</v>
      </c>
      <c r="AA31" s="15" t="s">
        <v>113</v>
      </c>
      <c r="AB31" s="15" t="s">
        <v>137</v>
      </c>
      <c r="AC31" s="15" t="s">
        <v>115</v>
      </c>
      <c r="AD31" s="15" t="str">
        <f aca="false">HYPERLINK("https://lmcmic.ca"&amp;B31,"Open")</f>
        <v>Open</v>
      </c>
    </row>
    <row r="32" customFormat="false" ht="35.05" hidden="false" customHeight="false" outlineLevel="0" collapsed="false">
      <c r="A32" s="15" t="n">
        <v>31</v>
      </c>
      <c r="B32" s="15" t="s">
        <v>395</v>
      </c>
      <c r="C32" s="15" t="s">
        <v>207</v>
      </c>
      <c r="D32" s="15" t="s">
        <v>185</v>
      </c>
      <c r="E32" s="15" t="s">
        <v>127</v>
      </c>
      <c r="F32" s="15" t="s">
        <v>396</v>
      </c>
      <c r="G32" s="15" t="n">
        <f aca="false">LEN(F32)</f>
        <v>59</v>
      </c>
      <c r="H32" s="15" t="str">
        <f aca="false">IF(AND(G32&gt;=30,G32&lt;=65),"OK","Review")</f>
        <v>OK</v>
      </c>
      <c r="I32" s="15" t="s">
        <v>397</v>
      </c>
      <c r="J32" s="15" t="n">
        <f aca="false">LEN(I32)</f>
        <v>158</v>
      </c>
      <c r="K32" s="15" t="str">
        <f aca="false">IF(AND(J32&gt;=120,J32&lt;=160),"OK","Review")</f>
        <v>OK</v>
      </c>
      <c r="L32" s="15" t="s">
        <v>398</v>
      </c>
      <c r="M32" s="15" t="s">
        <v>399</v>
      </c>
      <c r="N32" s="15" t="s">
        <v>400</v>
      </c>
      <c r="O32" s="15" t="s">
        <v>401</v>
      </c>
      <c r="P32" s="15" t="s">
        <v>402</v>
      </c>
      <c r="Q32" s="15" t="str">
        <f aca="false">IF(P32="https://lmcmic.ca"&amp;B32,"Yes","No")</f>
        <v>Yes</v>
      </c>
      <c r="R32" s="15" t="s">
        <v>110</v>
      </c>
      <c r="S32" s="15" t="s">
        <v>204</v>
      </c>
      <c r="T32" s="15" t="n">
        <v>2918</v>
      </c>
      <c r="U32" s="15" t="n">
        <v>9</v>
      </c>
      <c r="V32" s="15" t="n">
        <v>5</v>
      </c>
      <c r="W32" s="15" t="s">
        <v>403</v>
      </c>
      <c r="X32" s="15"/>
      <c r="Y32" s="15"/>
      <c r="Z32" s="15" t="s">
        <v>113</v>
      </c>
      <c r="AA32" s="15" t="s">
        <v>113</v>
      </c>
      <c r="AB32" s="15" t="s">
        <v>137</v>
      </c>
      <c r="AC32" s="15" t="s">
        <v>115</v>
      </c>
      <c r="AD32" s="15" t="str">
        <f aca="false">HYPERLINK("https://lmcmic.ca"&amp;B32,"Open")</f>
        <v>Open</v>
      </c>
    </row>
    <row r="33" customFormat="false" ht="35.05" hidden="false" customHeight="false" outlineLevel="0" collapsed="false">
      <c r="A33" s="15" t="n">
        <v>32</v>
      </c>
      <c r="B33" s="15" t="s">
        <v>404</v>
      </c>
      <c r="C33" s="15" t="s">
        <v>184</v>
      </c>
      <c r="D33" s="15" t="s">
        <v>185</v>
      </c>
      <c r="E33" s="15" t="s">
        <v>127</v>
      </c>
      <c r="F33" s="15" t="s">
        <v>405</v>
      </c>
      <c r="G33" s="15" t="n">
        <f aca="false">LEN(F33)</f>
        <v>59</v>
      </c>
      <c r="H33" s="15" t="str">
        <f aca="false">IF(AND(G33&gt;=30,G33&lt;=65),"OK","Review")</f>
        <v>OK</v>
      </c>
      <c r="I33" s="15" t="s">
        <v>406</v>
      </c>
      <c r="J33" s="15" t="n">
        <f aca="false">LEN(I33)</f>
        <v>154</v>
      </c>
      <c r="K33" s="15" t="str">
        <f aca="false">IF(AND(J33&gt;=120,J33&lt;=160),"OK","Review")</f>
        <v>OK</v>
      </c>
      <c r="L33" s="15" t="s">
        <v>407</v>
      </c>
      <c r="M33" s="15" t="s">
        <v>408</v>
      </c>
      <c r="N33" s="15" t="s">
        <v>409</v>
      </c>
      <c r="O33" s="15" t="s">
        <v>410</v>
      </c>
      <c r="P33" s="15" t="s">
        <v>411</v>
      </c>
      <c r="Q33" s="15" t="str">
        <f aca="false">IF(P33="https://lmcmic.ca"&amp;B33,"Yes","No")</f>
        <v>Yes</v>
      </c>
      <c r="R33" s="15" t="s">
        <v>110</v>
      </c>
      <c r="S33" s="15" t="s">
        <v>204</v>
      </c>
      <c r="T33" s="15" t="n">
        <v>2592</v>
      </c>
      <c r="U33" s="15" t="n">
        <v>8</v>
      </c>
      <c r="V33" s="15" t="n">
        <v>3</v>
      </c>
      <c r="W33" s="15" t="s">
        <v>412</v>
      </c>
      <c r="X33" s="15"/>
      <c r="Y33" s="15"/>
      <c r="Z33" s="15" t="s">
        <v>113</v>
      </c>
      <c r="AA33" s="15" t="s">
        <v>113</v>
      </c>
      <c r="AB33" s="15" t="s">
        <v>137</v>
      </c>
      <c r="AC33" s="15" t="s">
        <v>115</v>
      </c>
      <c r="AD33" s="15" t="str">
        <f aca="false">HYPERLINK("https://lmcmic.ca"&amp;B33,"Open")</f>
        <v>Open</v>
      </c>
    </row>
    <row r="34" customFormat="false" ht="35.05" hidden="false" customHeight="false" outlineLevel="0" collapsed="false">
      <c r="A34" s="15" t="n">
        <v>33</v>
      </c>
      <c r="B34" s="15" t="s">
        <v>413</v>
      </c>
      <c r="C34" s="15" t="s">
        <v>184</v>
      </c>
      <c r="D34" s="15" t="s">
        <v>126</v>
      </c>
      <c r="E34" s="15" t="s">
        <v>248</v>
      </c>
      <c r="F34" s="15" t="s">
        <v>414</v>
      </c>
      <c r="G34" s="15" t="n">
        <f aca="false">LEN(F34)</f>
        <v>45</v>
      </c>
      <c r="H34" s="15" t="str">
        <f aca="false">IF(AND(G34&gt;=30,G34&lt;=65),"OK","Review")</f>
        <v>OK</v>
      </c>
      <c r="I34" s="15" t="s">
        <v>415</v>
      </c>
      <c r="J34" s="15" t="n">
        <f aca="false">LEN(I34)</f>
        <v>153</v>
      </c>
      <c r="K34" s="15" t="str">
        <f aca="false">IF(AND(J34&gt;=120,J34&lt;=160),"OK","Review")</f>
        <v>OK</v>
      </c>
      <c r="L34" s="15" t="s">
        <v>416</v>
      </c>
      <c r="M34" s="15" t="s">
        <v>417</v>
      </c>
      <c r="N34" s="15" t="s">
        <v>418</v>
      </c>
      <c r="O34" s="15" t="s">
        <v>419</v>
      </c>
      <c r="P34" s="15" t="s">
        <v>420</v>
      </c>
      <c r="Q34" s="15" t="str">
        <f aca="false">IF(P34="https://lmcmic.ca"&amp;B34,"Yes","No")</f>
        <v>Yes</v>
      </c>
      <c r="R34" s="15" t="s">
        <v>110</v>
      </c>
      <c r="S34" s="15" t="s">
        <v>204</v>
      </c>
      <c r="T34" s="15" t="n">
        <v>2925</v>
      </c>
      <c r="U34" s="15" t="n">
        <v>9</v>
      </c>
      <c r="V34" s="15" t="n">
        <v>4</v>
      </c>
      <c r="W34" s="15" t="s">
        <v>421</v>
      </c>
      <c r="X34" s="15"/>
      <c r="Y34" s="15"/>
      <c r="Z34" s="15" t="s">
        <v>113</v>
      </c>
      <c r="AA34" s="15" t="s">
        <v>113</v>
      </c>
      <c r="AB34" s="15" t="s">
        <v>137</v>
      </c>
      <c r="AC34" s="15" t="s">
        <v>115</v>
      </c>
      <c r="AD34" s="15" t="str">
        <f aca="false">HYPERLINK("https://lmcmic.ca"&amp;B34,"Open")</f>
        <v>Open</v>
      </c>
    </row>
    <row r="35" customFormat="false" ht="35.05" hidden="false" customHeight="false" outlineLevel="0" collapsed="false">
      <c r="A35" s="15" t="n">
        <v>34</v>
      </c>
      <c r="B35" s="15" t="s">
        <v>422</v>
      </c>
      <c r="C35" s="15" t="s">
        <v>207</v>
      </c>
      <c r="D35" s="15" t="s">
        <v>185</v>
      </c>
      <c r="E35" s="15" t="s">
        <v>127</v>
      </c>
      <c r="F35" s="15" t="s">
        <v>423</v>
      </c>
      <c r="G35" s="15" t="n">
        <f aca="false">LEN(F35)</f>
        <v>46</v>
      </c>
      <c r="H35" s="15" t="str">
        <f aca="false">IF(AND(G35&gt;=30,G35&lt;=65),"OK","Review")</f>
        <v>OK</v>
      </c>
      <c r="I35" s="15" t="s">
        <v>424</v>
      </c>
      <c r="J35" s="15" t="n">
        <f aca="false">LEN(I35)</f>
        <v>157</v>
      </c>
      <c r="K35" s="15" t="str">
        <f aca="false">IF(AND(J35&gt;=120,J35&lt;=160),"OK","Review")</f>
        <v>OK</v>
      </c>
      <c r="L35" s="15" t="s">
        <v>425</v>
      </c>
      <c r="M35" s="15" t="s">
        <v>426</v>
      </c>
      <c r="N35" s="15" t="s">
        <v>427</v>
      </c>
      <c r="O35" s="15" t="s">
        <v>428</v>
      </c>
      <c r="P35" s="15" t="s">
        <v>429</v>
      </c>
      <c r="Q35" s="15" t="str">
        <f aca="false">IF(P35="https://lmcmic.ca"&amp;B35,"Yes","No")</f>
        <v>Yes</v>
      </c>
      <c r="R35" s="15" t="s">
        <v>110</v>
      </c>
      <c r="S35" s="15" t="s">
        <v>204</v>
      </c>
      <c r="T35" s="15" t="n">
        <v>3183</v>
      </c>
      <c r="U35" s="15" t="n">
        <v>8</v>
      </c>
      <c r="V35" s="15" t="n">
        <v>5</v>
      </c>
      <c r="W35" s="15" t="s">
        <v>430</v>
      </c>
      <c r="X35" s="15"/>
      <c r="Y35" s="15"/>
      <c r="Z35" s="15" t="s">
        <v>113</v>
      </c>
      <c r="AA35" s="15" t="s">
        <v>113</v>
      </c>
      <c r="AB35" s="15" t="s">
        <v>137</v>
      </c>
      <c r="AC35" s="15" t="s">
        <v>115</v>
      </c>
      <c r="AD35" s="15" t="str">
        <f aca="false">HYPERLINK("https://lmcmic.ca"&amp;B35,"Open")</f>
        <v>Open</v>
      </c>
    </row>
    <row r="36" customFormat="false" ht="35.05" hidden="false" customHeight="false" outlineLevel="0" collapsed="false">
      <c r="A36" s="15" t="n">
        <v>35</v>
      </c>
      <c r="B36" s="15" t="s">
        <v>431</v>
      </c>
      <c r="C36" s="15" t="s">
        <v>432</v>
      </c>
      <c r="D36" s="15" t="s">
        <v>219</v>
      </c>
      <c r="E36" s="15" t="s">
        <v>127</v>
      </c>
      <c r="F36" s="15" t="s">
        <v>433</v>
      </c>
      <c r="G36" s="15" t="n">
        <f aca="false">LEN(F36)</f>
        <v>46</v>
      </c>
      <c r="H36" s="15" t="str">
        <f aca="false">IF(AND(G36&gt;=30,G36&lt;=65),"OK","Review")</f>
        <v>OK</v>
      </c>
      <c r="I36" s="15" t="s">
        <v>434</v>
      </c>
      <c r="J36" s="15" t="n">
        <f aca="false">LEN(I36)</f>
        <v>152</v>
      </c>
      <c r="K36" s="15" t="str">
        <f aca="false">IF(AND(J36&gt;=120,J36&lt;=160),"OK","Review")</f>
        <v>OK</v>
      </c>
      <c r="L36" s="15" t="s">
        <v>435</v>
      </c>
      <c r="M36" s="15" t="s">
        <v>436</v>
      </c>
      <c r="N36" s="15" t="s">
        <v>437</v>
      </c>
      <c r="O36" s="15" t="s">
        <v>438</v>
      </c>
      <c r="P36" s="15" t="s">
        <v>439</v>
      </c>
      <c r="Q36" s="15" t="str">
        <f aca="false">IF(P36="https://lmcmic.ca"&amp;B36,"Yes","No")</f>
        <v>Yes</v>
      </c>
      <c r="R36" s="15" t="s">
        <v>110</v>
      </c>
      <c r="S36" s="15" t="s">
        <v>204</v>
      </c>
      <c r="T36" s="15" t="n">
        <v>3471</v>
      </c>
      <c r="U36" s="15" t="n">
        <v>10</v>
      </c>
      <c r="V36" s="15" t="n">
        <v>11</v>
      </c>
      <c r="W36" s="15" t="s">
        <v>440</v>
      </c>
      <c r="X36" s="15"/>
      <c r="Y36" s="15"/>
      <c r="Z36" s="15" t="s">
        <v>113</v>
      </c>
      <c r="AA36" s="15" t="s">
        <v>113</v>
      </c>
      <c r="AB36" s="15" t="s">
        <v>137</v>
      </c>
      <c r="AC36" s="15" t="s">
        <v>115</v>
      </c>
      <c r="AD36" s="15" t="str">
        <f aca="false">HYPERLINK("https://lmcmic.ca"&amp;B36,"Open")</f>
        <v>Open</v>
      </c>
    </row>
    <row r="37" customFormat="false" ht="35.05" hidden="false" customHeight="false" outlineLevel="0" collapsed="false">
      <c r="A37" s="15" t="n">
        <v>36</v>
      </c>
      <c r="B37" s="15" t="s">
        <v>441</v>
      </c>
      <c r="C37" s="15" t="s">
        <v>218</v>
      </c>
      <c r="D37" s="15" t="s">
        <v>219</v>
      </c>
      <c r="E37" s="15" t="s">
        <v>248</v>
      </c>
      <c r="F37" s="15" t="s">
        <v>442</v>
      </c>
      <c r="G37" s="15" t="n">
        <f aca="false">LEN(F37)</f>
        <v>62</v>
      </c>
      <c r="H37" s="15" t="str">
        <f aca="false">IF(AND(G37&gt;=30,G37&lt;=65),"OK","Review")</f>
        <v>OK</v>
      </c>
      <c r="I37" s="15" t="s">
        <v>443</v>
      </c>
      <c r="J37" s="15" t="n">
        <f aca="false">LEN(I37)</f>
        <v>149</v>
      </c>
      <c r="K37" s="15" t="str">
        <f aca="false">IF(AND(J37&gt;=120,J37&lt;=160),"OK","Review")</f>
        <v>OK</v>
      </c>
      <c r="L37" s="15" t="s">
        <v>444</v>
      </c>
      <c r="M37" s="15" t="s">
        <v>445</v>
      </c>
      <c r="N37" s="15" t="s">
        <v>446</v>
      </c>
      <c r="O37" s="15" t="s">
        <v>447</v>
      </c>
      <c r="P37" s="15" t="s">
        <v>448</v>
      </c>
      <c r="Q37" s="15" t="str">
        <f aca="false">IF(P37="https://lmcmic.ca"&amp;B37,"Yes","No")</f>
        <v>Yes</v>
      </c>
      <c r="R37" s="15" t="s">
        <v>110</v>
      </c>
      <c r="S37" s="15" t="s">
        <v>204</v>
      </c>
      <c r="T37" s="15" t="n">
        <v>2455</v>
      </c>
      <c r="U37" s="15" t="n">
        <v>7</v>
      </c>
      <c r="V37" s="15" t="n">
        <v>5</v>
      </c>
      <c r="W37" s="15" t="s">
        <v>449</v>
      </c>
      <c r="X37" s="15"/>
      <c r="Y37" s="15"/>
      <c r="Z37" s="15" t="s">
        <v>113</v>
      </c>
      <c r="AA37" s="15" t="s">
        <v>113</v>
      </c>
      <c r="AB37" s="15" t="s">
        <v>137</v>
      </c>
      <c r="AC37" s="15" t="s">
        <v>115</v>
      </c>
      <c r="AD37" s="15" t="str">
        <f aca="false">HYPERLINK("https://lmcmic.ca"&amp;B37,"Open")</f>
        <v>Open</v>
      </c>
    </row>
    <row r="38" customFormat="false" ht="35.05" hidden="false" customHeight="false" outlineLevel="0" collapsed="false">
      <c r="A38" s="15" t="n">
        <v>37</v>
      </c>
      <c r="B38" s="15" t="s">
        <v>450</v>
      </c>
      <c r="C38" s="15" t="s">
        <v>207</v>
      </c>
      <c r="D38" s="15" t="s">
        <v>219</v>
      </c>
      <c r="E38" s="15" t="s">
        <v>127</v>
      </c>
      <c r="F38" s="15" t="s">
        <v>451</v>
      </c>
      <c r="G38" s="15" t="n">
        <f aca="false">LEN(F38)</f>
        <v>51</v>
      </c>
      <c r="H38" s="15" t="str">
        <f aca="false">IF(AND(G38&gt;=30,G38&lt;=65),"OK","Review")</f>
        <v>OK</v>
      </c>
      <c r="I38" s="15" t="s">
        <v>452</v>
      </c>
      <c r="J38" s="15" t="n">
        <f aca="false">LEN(I38)</f>
        <v>149</v>
      </c>
      <c r="K38" s="15" t="str">
        <f aca="false">IF(AND(J38&gt;=120,J38&lt;=160),"OK","Review")</f>
        <v>OK</v>
      </c>
      <c r="L38" s="15" t="s">
        <v>453</v>
      </c>
      <c r="M38" s="15" t="s">
        <v>454</v>
      </c>
      <c r="N38" s="15" t="s">
        <v>455</v>
      </c>
      <c r="O38" s="15" t="s">
        <v>456</v>
      </c>
      <c r="P38" s="15" t="s">
        <v>457</v>
      </c>
      <c r="Q38" s="15" t="str">
        <f aca="false">IF(P38="https://lmcmic.ca"&amp;B38,"Yes","No")</f>
        <v>Yes</v>
      </c>
      <c r="R38" s="15" t="s">
        <v>110</v>
      </c>
      <c r="S38" s="15" t="s">
        <v>204</v>
      </c>
      <c r="T38" s="15" t="n">
        <v>3322</v>
      </c>
      <c r="U38" s="15" t="n">
        <v>7</v>
      </c>
      <c r="V38" s="15" t="n">
        <v>37</v>
      </c>
      <c r="W38" s="15" t="s">
        <v>458</v>
      </c>
      <c r="X38" s="15"/>
      <c r="Y38" s="15"/>
      <c r="Z38" s="15" t="s">
        <v>113</v>
      </c>
      <c r="AA38" s="15" t="s">
        <v>113</v>
      </c>
      <c r="AB38" s="15" t="s">
        <v>137</v>
      </c>
      <c r="AC38" s="15" t="s">
        <v>115</v>
      </c>
      <c r="AD38" s="15" t="str">
        <f aca="false">HYPERLINK("https://lmcmic.ca"&amp;B38,"Open")</f>
        <v>Open</v>
      </c>
    </row>
    <row r="39" customFormat="false" ht="35.05" hidden="false" customHeight="false" outlineLevel="0" collapsed="false">
      <c r="A39" s="15" t="n">
        <v>38</v>
      </c>
      <c r="B39" s="15" t="s">
        <v>459</v>
      </c>
      <c r="C39" s="15" t="s">
        <v>207</v>
      </c>
      <c r="D39" s="15" t="s">
        <v>219</v>
      </c>
      <c r="E39" s="15" t="s">
        <v>127</v>
      </c>
      <c r="F39" s="15" t="s">
        <v>460</v>
      </c>
      <c r="G39" s="15" t="n">
        <f aca="false">LEN(F39)</f>
        <v>51</v>
      </c>
      <c r="H39" s="15" t="str">
        <f aca="false">IF(AND(G39&gt;=30,G39&lt;=65),"OK","Review")</f>
        <v>OK</v>
      </c>
      <c r="I39" s="15" t="s">
        <v>461</v>
      </c>
      <c r="J39" s="15" t="n">
        <f aca="false">LEN(I39)</f>
        <v>157</v>
      </c>
      <c r="K39" s="15" t="str">
        <f aca="false">IF(AND(J39&gt;=120,J39&lt;=160),"OK","Review")</f>
        <v>OK</v>
      </c>
      <c r="L39" s="15" t="s">
        <v>462</v>
      </c>
      <c r="M39" s="15" t="s">
        <v>463</v>
      </c>
      <c r="N39" s="15" t="s">
        <v>464</v>
      </c>
      <c r="O39" s="15" t="s">
        <v>465</v>
      </c>
      <c r="P39" s="15" t="s">
        <v>466</v>
      </c>
      <c r="Q39" s="15" t="str">
        <f aca="false">IF(P39="https://lmcmic.ca"&amp;B39,"Yes","No")</f>
        <v>Yes</v>
      </c>
      <c r="R39" s="15" t="s">
        <v>110</v>
      </c>
      <c r="S39" s="15" t="s">
        <v>204</v>
      </c>
      <c r="T39" s="15" t="n">
        <v>2747</v>
      </c>
      <c r="U39" s="15" t="n">
        <v>10</v>
      </c>
      <c r="V39" s="15" t="n">
        <v>18</v>
      </c>
      <c r="W39" s="15" t="s">
        <v>467</v>
      </c>
      <c r="X39" s="15"/>
      <c r="Y39" s="15"/>
      <c r="Z39" s="15" t="s">
        <v>113</v>
      </c>
      <c r="AA39" s="15" t="s">
        <v>113</v>
      </c>
      <c r="AB39" s="15" t="s">
        <v>137</v>
      </c>
      <c r="AC39" s="15" t="s">
        <v>115</v>
      </c>
      <c r="AD39" s="15" t="str">
        <f aca="false">HYPERLINK("https://lmcmic.ca"&amp;B39,"Open")</f>
        <v>Open</v>
      </c>
    </row>
    <row r="40" customFormat="false" ht="35.05" hidden="false" customHeight="false" outlineLevel="0" collapsed="false">
      <c r="A40" s="15" t="n">
        <v>39</v>
      </c>
      <c r="B40" s="15" t="s">
        <v>468</v>
      </c>
      <c r="C40" s="15" t="s">
        <v>173</v>
      </c>
      <c r="D40" s="15" t="s">
        <v>126</v>
      </c>
      <c r="E40" s="15" t="s">
        <v>127</v>
      </c>
      <c r="F40" s="15" t="s">
        <v>469</v>
      </c>
      <c r="G40" s="15" t="n">
        <f aca="false">LEN(F40)</f>
        <v>46</v>
      </c>
      <c r="H40" s="15" t="str">
        <f aca="false">IF(AND(G40&gt;=30,G40&lt;=65),"OK","Review")</f>
        <v>OK</v>
      </c>
      <c r="I40" s="15" t="s">
        <v>470</v>
      </c>
      <c r="J40" s="15" t="n">
        <f aca="false">LEN(I40)</f>
        <v>149</v>
      </c>
      <c r="K40" s="15" t="str">
        <f aca="false">IF(AND(J40&gt;=120,J40&lt;=160),"OK","Review")</f>
        <v>OK</v>
      </c>
      <c r="L40" s="15" t="s">
        <v>471</v>
      </c>
      <c r="M40" s="15" t="s">
        <v>472</v>
      </c>
      <c r="N40" s="15" t="s">
        <v>473</v>
      </c>
      <c r="O40" s="15" t="s">
        <v>474</v>
      </c>
      <c r="P40" s="15" t="s">
        <v>475</v>
      </c>
      <c r="Q40" s="15" t="str">
        <f aca="false">IF(P40="https://lmcmic.ca"&amp;B40,"Yes","No")</f>
        <v>Yes</v>
      </c>
      <c r="R40" s="15" t="s">
        <v>110</v>
      </c>
      <c r="S40" s="15" t="s">
        <v>204</v>
      </c>
      <c r="T40" s="15" t="n">
        <v>2497</v>
      </c>
      <c r="U40" s="15" t="n">
        <v>8</v>
      </c>
      <c r="V40" s="15" t="n">
        <v>4</v>
      </c>
      <c r="W40" s="15" t="s">
        <v>476</v>
      </c>
      <c r="X40" s="15"/>
      <c r="Y40" s="15"/>
      <c r="Z40" s="15" t="s">
        <v>113</v>
      </c>
      <c r="AA40" s="15" t="s">
        <v>113</v>
      </c>
      <c r="AB40" s="15" t="s">
        <v>137</v>
      </c>
      <c r="AC40" s="15" t="s">
        <v>115</v>
      </c>
      <c r="AD40" s="15" t="str">
        <f aca="false">HYPERLINK("https://lmcmic.ca"&amp;B40,"Open")</f>
        <v>Open</v>
      </c>
    </row>
    <row r="41" customFormat="false" ht="35.05" hidden="false" customHeight="false" outlineLevel="0" collapsed="false">
      <c r="A41" s="15" t="n">
        <v>40</v>
      </c>
      <c r="B41" s="15" t="s">
        <v>477</v>
      </c>
      <c r="C41" s="15" t="s">
        <v>218</v>
      </c>
      <c r="D41" s="15" t="s">
        <v>247</v>
      </c>
      <c r="E41" s="15" t="s">
        <v>127</v>
      </c>
      <c r="F41" s="15" t="s">
        <v>478</v>
      </c>
      <c r="G41" s="15" t="n">
        <f aca="false">LEN(F41)</f>
        <v>62</v>
      </c>
      <c r="H41" s="15" t="str">
        <f aca="false">IF(AND(G41&gt;=30,G41&lt;=65),"OK","Review")</f>
        <v>OK</v>
      </c>
      <c r="I41" s="15" t="s">
        <v>479</v>
      </c>
      <c r="J41" s="15" t="n">
        <f aca="false">LEN(I41)</f>
        <v>155</v>
      </c>
      <c r="K41" s="15" t="str">
        <f aca="false">IF(AND(J41&gt;=120,J41&lt;=160),"OK","Review")</f>
        <v>OK</v>
      </c>
      <c r="L41" s="15" t="s">
        <v>480</v>
      </c>
      <c r="M41" s="15" t="s">
        <v>481</v>
      </c>
      <c r="N41" s="15" t="s">
        <v>482</v>
      </c>
      <c r="O41" s="15" t="s">
        <v>483</v>
      </c>
      <c r="P41" s="15" t="s">
        <v>484</v>
      </c>
      <c r="Q41" s="15" t="str">
        <f aca="false">IF(P41="https://lmcmic.ca"&amp;B41,"Yes","No")</f>
        <v>Yes</v>
      </c>
      <c r="R41" s="15" t="s">
        <v>110</v>
      </c>
      <c r="S41" s="15" t="s">
        <v>204</v>
      </c>
      <c r="T41" s="15" t="n">
        <v>3032</v>
      </c>
      <c r="U41" s="15" t="n">
        <v>7</v>
      </c>
      <c r="V41" s="15" t="n">
        <v>13</v>
      </c>
      <c r="W41" s="15" t="s">
        <v>485</v>
      </c>
      <c r="X41" s="15"/>
      <c r="Y41" s="15"/>
      <c r="Z41" s="15" t="s">
        <v>113</v>
      </c>
      <c r="AA41" s="15" t="s">
        <v>113</v>
      </c>
      <c r="AB41" s="15" t="s">
        <v>137</v>
      </c>
      <c r="AC41" s="15" t="s">
        <v>115</v>
      </c>
      <c r="AD41" s="15" t="str">
        <f aca="false">HYPERLINK("https://lmcmic.ca"&amp;B41,"Open")</f>
        <v>Open</v>
      </c>
    </row>
    <row r="42" customFormat="false" ht="35.05" hidden="false" customHeight="false" outlineLevel="0" collapsed="false">
      <c r="A42" s="15" t="n">
        <v>41</v>
      </c>
      <c r="B42" s="15" t="s">
        <v>486</v>
      </c>
      <c r="C42" s="15" t="s">
        <v>218</v>
      </c>
      <c r="D42" s="15" t="s">
        <v>247</v>
      </c>
      <c r="E42" s="15" t="s">
        <v>248</v>
      </c>
      <c r="F42" s="15" t="s">
        <v>487</v>
      </c>
      <c r="G42" s="15" t="n">
        <f aca="false">LEN(F42)</f>
        <v>47</v>
      </c>
      <c r="H42" s="15" t="str">
        <f aca="false">IF(AND(G42&gt;=30,G42&lt;=65),"OK","Review")</f>
        <v>OK</v>
      </c>
      <c r="I42" s="15" t="s">
        <v>488</v>
      </c>
      <c r="J42" s="15" t="n">
        <f aca="false">LEN(I42)</f>
        <v>156</v>
      </c>
      <c r="K42" s="15" t="str">
        <f aca="false">IF(AND(J42&gt;=120,J42&lt;=160),"OK","Review")</f>
        <v>OK</v>
      </c>
      <c r="L42" s="15" t="s">
        <v>489</v>
      </c>
      <c r="M42" s="15" t="s">
        <v>490</v>
      </c>
      <c r="N42" s="15" t="s">
        <v>491</v>
      </c>
      <c r="O42" s="15" t="s">
        <v>492</v>
      </c>
      <c r="P42" s="15" t="s">
        <v>493</v>
      </c>
      <c r="Q42" s="15" t="str">
        <f aca="false">IF(P42="https://lmcmic.ca"&amp;B42,"Yes","No")</f>
        <v>Yes</v>
      </c>
      <c r="R42" s="15" t="s">
        <v>110</v>
      </c>
      <c r="S42" s="15" t="s">
        <v>204</v>
      </c>
      <c r="T42" s="15" t="n">
        <v>2279</v>
      </c>
      <c r="U42" s="15" t="n">
        <v>6</v>
      </c>
      <c r="V42" s="15" t="n">
        <v>6</v>
      </c>
      <c r="W42" s="15" t="s">
        <v>494</v>
      </c>
      <c r="X42" s="15"/>
      <c r="Y42" s="15"/>
      <c r="Z42" s="15" t="s">
        <v>113</v>
      </c>
      <c r="AA42" s="15" t="s">
        <v>113</v>
      </c>
      <c r="AB42" s="15" t="s">
        <v>137</v>
      </c>
      <c r="AC42" s="15" t="s">
        <v>115</v>
      </c>
      <c r="AD42" s="15" t="str">
        <f aca="false">HYPERLINK("https://lmcmic.ca"&amp;B42,"Open")</f>
        <v>Open</v>
      </c>
    </row>
    <row r="43" customFormat="false" ht="35.05" hidden="false" customHeight="false" outlineLevel="0" collapsed="false">
      <c r="A43" s="15" t="n">
        <v>42</v>
      </c>
      <c r="B43" s="15" t="s">
        <v>495</v>
      </c>
      <c r="C43" s="15" t="s">
        <v>350</v>
      </c>
      <c r="D43" s="15" t="s">
        <v>208</v>
      </c>
      <c r="E43" s="15" t="s">
        <v>127</v>
      </c>
      <c r="F43" s="15" t="s">
        <v>496</v>
      </c>
      <c r="G43" s="15" t="n">
        <f aca="false">LEN(F43)</f>
        <v>52</v>
      </c>
      <c r="H43" s="15" t="str">
        <f aca="false">IF(AND(G43&gt;=30,G43&lt;=65),"OK","Review")</f>
        <v>OK</v>
      </c>
      <c r="I43" s="15" t="s">
        <v>497</v>
      </c>
      <c r="J43" s="15" t="n">
        <f aca="false">LEN(I43)</f>
        <v>154</v>
      </c>
      <c r="K43" s="15" t="str">
        <f aca="false">IF(AND(J43&gt;=120,J43&lt;=160),"OK","Review")</f>
        <v>OK</v>
      </c>
      <c r="L43" s="15" t="s">
        <v>498</v>
      </c>
      <c r="M43" s="15" t="s">
        <v>499</v>
      </c>
      <c r="N43" s="15" t="s">
        <v>500</v>
      </c>
      <c r="O43" s="15" t="s">
        <v>501</v>
      </c>
      <c r="P43" s="15" t="s">
        <v>502</v>
      </c>
      <c r="Q43" s="15" t="str">
        <f aca="false">IF(P43="https://lmcmic.ca"&amp;B43,"Yes","No")</f>
        <v>Yes</v>
      </c>
      <c r="R43" s="15" t="s">
        <v>110</v>
      </c>
      <c r="S43" s="15" t="s">
        <v>204</v>
      </c>
      <c r="T43" s="15" t="n">
        <v>3202</v>
      </c>
      <c r="U43" s="15" t="n">
        <v>8</v>
      </c>
      <c r="V43" s="15" t="n">
        <v>5</v>
      </c>
      <c r="W43" s="15" t="s">
        <v>503</v>
      </c>
      <c r="X43" s="15"/>
      <c r="Y43" s="15"/>
      <c r="Z43" s="15" t="s">
        <v>113</v>
      </c>
      <c r="AA43" s="15" t="s">
        <v>113</v>
      </c>
      <c r="AB43" s="15" t="s">
        <v>137</v>
      </c>
      <c r="AC43" s="15" t="s">
        <v>115</v>
      </c>
      <c r="AD43" s="15" t="str">
        <f aca="false">HYPERLINK("https://lmcmic.ca"&amp;B43,"Open")</f>
        <v>Open</v>
      </c>
    </row>
    <row r="44" customFormat="false" ht="35.05" hidden="false" customHeight="false" outlineLevel="0" collapsed="false">
      <c r="A44" s="15" t="n">
        <v>43</v>
      </c>
      <c r="B44" s="15" t="s">
        <v>504</v>
      </c>
      <c r="C44" s="15" t="s">
        <v>218</v>
      </c>
      <c r="D44" s="15" t="s">
        <v>247</v>
      </c>
      <c r="E44" s="15" t="s">
        <v>248</v>
      </c>
      <c r="F44" s="15" t="s">
        <v>505</v>
      </c>
      <c r="G44" s="15" t="n">
        <f aca="false">LEN(F44)</f>
        <v>61</v>
      </c>
      <c r="H44" s="15" t="str">
        <f aca="false">IF(AND(G44&gt;=30,G44&lt;=65),"OK","Review")</f>
        <v>OK</v>
      </c>
      <c r="I44" s="15" t="s">
        <v>506</v>
      </c>
      <c r="J44" s="15" t="n">
        <f aca="false">LEN(I44)</f>
        <v>155</v>
      </c>
      <c r="K44" s="15" t="str">
        <f aca="false">IF(AND(J44&gt;=120,J44&lt;=160),"OK","Review")</f>
        <v>OK</v>
      </c>
      <c r="L44" s="15" t="s">
        <v>507</v>
      </c>
      <c r="M44" s="15" t="s">
        <v>508</v>
      </c>
      <c r="N44" s="15" t="s">
        <v>509</v>
      </c>
      <c r="O44" s="15" t="s">
        <v>510</v>
      </c>
      <c r="P44" s="15" t="s">
        <v>511</v>
      </c>
      <c r="Q44" s="15" t="str">
        <f aca="false">IF(P44="https://lmcmic.ca"&amp;B44,"Yes","No")</f>
        <v>Yes</v>
      </c>
      <c r="R44" s="15" t="s">
        <v>110</v>
      </c>
      <c r="S44" s="15" t="s">
        <v>204</v>
      </c>
      <c r="T44" s="15" t="n">
        <v>1825</v>
      </c>
      <c r="U44" s="15" t="n">
        <v>5</v>
      </c>
      <c r="V44" s="15" t="n">
        <v>3</v>
      </c>
      <c r="W44" s="15" t="s">
        <v>512</v>
      </c>
      <c r="X44" s="15"/>
      <c r="Y44" s="15"/>
      <c r="Z44" s="15" t="s">
        <v>113</v>
      </c>
      <c r="AA44" s="15" t="s">
        <v>113</v>
      </c>
      <c r="AB44" s="15" t="s">
        <v>137</v>
      </c>
      <c r="AC44" s="15" t="s">
        <v>115</v>
      </c>
      <c r="AD44" s="15" t="str">
        <f aca="false">HYPERLINK("https://lmcmic.ca"&amp;B44,"Open")</f>
        <v>Open</v>
      </c>
    </row>
    <row r="45" customFormat="false" ht="35.05" hidden="false" customHeight="false" outlineLevel="0" collapsed="false">
      <c r="A45" s="15" t="n">
        <v>44</v>
      </c>
      <c r="B45" s="15" t="s">
        <v>513</v>
      </c>
      <c r="C45" s="15" t="s">
        <v>350</v>
      </c>
      <c r="D45" s="15" t="s">
        <v>208</v>
      </c>
      <c r="E45" s="15" t="s">
        <v>127</v>
      </c>
      <c r="F45" s="15" t="s">
        <v>514</v>
      </c>
      <c r="G45" s="15" t="n">
        <f aca="false">LEN(F45)</f>
        <v>44</v>
      </c>
      <c r="H45" s="15" t="str">
        <f aca="false">IF(AND(G45&gt;=30,G45&lt;=65),"OK","Review")</f>
        <v>OK</v>
      </c>
      <c r="I45" s="15" t="s">
        <v>515</v>
      </c>
      <c r="J45" s="15" t="n">
        <f aca="false">LEN(I45)</f>
        <v>150</v>
      </c>
      <c r="K45" s="15" t="str">
        <f aca="false">IF(AND(J45&gt;=120,J45&lt;=160),"OK","Review")</f>
        <v>OK</v>
      </c>
      <c r="L45" s="15" t="s">
        <v>516</v>
      </c>
      <c r="M45" s="15" t="s">
        <v>517</v>
      </c>
      <c r="N45" s="15" t="s">
        <v>518</v>
      </c>
      <c r="O45" s="15" t="s">
        <v>519</v>
      </c>
      <c r="P45" s="15" t="s">
        <v>520</v>
      </c>
      <c r="Q45" s="15" t="str">
        <f aca="false">IF(P45="https://lmcmic.ca"&amp;B45,"Yes","No")</f>
        <v>Yes</v>
      </c>
      <c r="R45" s="15" t="s">
        <v>110</v>
      </c>
      <c r="S45" s="15" t="s">
        <v>204</v>
      </c>
      <c r="T45" s="15" t="n">
        <v>3618</v>
      </c>
      <c r="U45" s="15" t="n">
        <v>8</v>
      </c>
      <c r="V45" s="15" t="n">
        <v>7</v>
      </c>
      <c r="W45" s="15" t="s">
        <v>521</v>
      </c>
      <c r="X45" s="15"/>
      <c r="Y45" s="15"/>
      <c r="Z45" s="15" t="s">
        <v>113</v>
      </c>
      <c r="AA45" s="15" t="s">
        <v>113</v>
      </c>
      <c r="AB45" s="15" t="s">
        <v>137</v>
      </c>
      <c r="AC45" s="15" t="s">
        <v>115</v>
      </c>
      <c r="AD45" s="15" t="str">
        <f aca="false">HYPERLINK("https://lmcmic.ca"&amp;B45,"Open")</f>
        <v>Open</v>
      </c>
    </row>
    <row r="46" customFormat="false" ht="35.05" hidden="false" customHeight="false" outlineLevel="0" collapsed="false">
      <c r="A46" s="15" t="n">
        <v>45</v>
      </c>
      <c r="B46" s="15" t="s">
        <v>522</v>
      </c>
      <c r="C46" s="15" t="s">
        <v>207</v>
      </c>
      <c r="D46" s="15" t="s">
        <v>268</v>
      </c>
      <c r="E46" s="15" t="s">
        <v>127</v>
      </c>
      <c r="F46" s="15" t="s">
        <v>523</v>
      </c>
      <c r="G46" s="15" t="n">
        <f aca="false">LEN(F46)</f>
        <v>56</v>
      </c>
      <c r="H46" s="15" t="str">
        <f aca="false">IF(AND(G46&gt;=30,G46&lt;=65),"OK","Review")</f>
        <v>OK</v>
      </c>
      <c r="I46" s="15" t="s">
        <v>524</v>
      </c>
      <c r="J46" s="15" t="n">
        <f aca="false">LEN(I46)</f>
        <v>158</v>
      </c>
      <c r="K46" s="15" t="str">
        <f aca="false">IF(AND(J46&gt;=120,J46&lt;=160),"OK","Review")</f>
        <v>OK</v>
      </c>
      <c r="L46" s="15" t="s">
        <v>525</v>
      </c>
      <c r="M46" s="15" t="s">
        <v>526</v>
      </c>
      <c r="N46" s="15" t="s">
        <v>527</v>
      </c>
      <c r="O46" s="15" t="s">
        <v>528</v>
      </c>
      <c r="P46" s="15" t="s">
        <v>529</v>
      </c>
      <c r="Q46" s="15" t="str">
        <f aca="false">IF(P46="https://lmcmic.ca"&amp;B46,"Yes","No")</f>
        <v>Yes</v>
      </c>
      <c r="R46" s="15" t="s">
        <v>110</v>
      </c>
      <c r="S46" s="15" t="s">
        <v>204</v>
      </c>
      <c r="T46" s="15" t="n">
        <v>2394</v>
      </c>
      <c r="U46" s="15" t="n">
        <v>8</v>
      </c>
      <c r="V46" s="15" t="n">
        <v>10</v>
      </c>
      <c r="W46" s="15" t="s">
        <v>530</v>
      </c>
      <c r="X46" s="15"/>
      <c r="Y46" s="15"/>
      <c r="Z46" s="15" t="s">
        <v>113</v>
      </c>
      <c r="AA46" s="15" t="s">
        <v>113</v>
      </c>
      <c r="AB46" s="15" t="s">
        <v>137</v>
      </c>
      <c r="AC46" s="15" t="s">
        <v>115</v>
      </c>
      <c r="AD46" s="15" t="str">
        <f aca="false">HYPERLINK("https://lmcmic.ca"&amp;B46,"Open")</f>
        <v>Open</v>
      </c>
    </row>
    <row r="47" customFormat="false" ht="35.05" hidden="false" customHeight="false" outlineLevel="0" collapsed="false">
      <c r="A47" s="15" t="n">
        <v>46</v>
      </c>
      <c r="B47" s="15" t="s">
        <v>531</v>
      </c>
      <c r="C47" s="15" t="s">
        <v>184</v>
      </c>
      <c r="D47" s="15" t="s">
        <v>196</v>
      </c>
      <c r="E47" s="15" t="s">
        <v>248</v>
      </c>
      <c r="F47" s="15" t="s">
        <v>532</v>
      </c>
      <c r="G47" s="15" t="n">
        <f aca="false">LEN(F47)</f>
        <v>55</v>
      </c>
      <c r="H47" s="15" t="str">
        <f aca="false">IF(AND(G47&gt;=30,G47&lt;=65),"OK","Review")</f>
        <v>OK</v>
      </c>
      <c r="I47" s="15" t="s">
        <v>533</v>
      </c>
      <c r="J47" s="15" t="n">
        <f aca="false">LEN(I47)</f>
        <v>158</v>
      </c>
      <c r="K47" s="15" t="str">
        <f aca="false">IF(AND(J47&gt;=120,J47&lt;=160),"OK","Review")</f>
        <v>OK</v>
      </c>
      <c r="L47" s="15" t="s">
        <v>534</v>
      </c>
      <c r="M47" s="15" t="s">
        <v>535</v>
      </c>
      <c r="N47" s="15" t="s">
        <v>536</v>
      </c>
      <c r="O47" s="15" t="s">
        <v>537</v>
      </c>
      <c r="P47" s="15" t="s">
        <v>538</v>
      </c>
      <c r="Q47" s="15" t="str">
        <f aca="false">IF(P47="https://lmcmic.ca"&amp;B47,"Yes","No")</f>
        <v>Yes</v>
      </c>
      <c r="R47" s="15" t="s">
        <v>110</v>
      </c>
      <c r="S47" s="15" t="s">
        <v>204</v>
      </c>
      <c r="T47" s="15" t="n">
        <v>2550</v>
      </c>
      <c r="U47" s="15" t="n">
        <v>8</v>
      </c>
      <c r="V47" s="15" t="n">
        <v>15</v>
      </c>
      <c r="W47" s="15" t="s">
        <v>539</v>
      </c>
      <c r="X47" s="15"/>
      <c r="Y47" s="15"/>
      <c r="Z47" s="15" t="s">
        <v>113</v>
      </c>
      <c r="AA47" s="15" t="s">
        <v>113</v>
      </c>
      <c r="AB47" s="15" t="s">
        <v>137</v>
      </c>
      <c r="AC47" s="15" t="s">
        <v>115</v>
      </c>
      <c r="AD47" s="15" t="str">
        <f aca="false">HYPERLINK("https://lmcmic.ca"&amp;B47,"Open")</f>
        <v>Open</v>
      </c>
    </row>
    <row r="48" customFormat="false" ht="35.05" hidden="false" customHeight="false" outlineLevel="0" collapsed="false">
      <c r="A48" s="15" t="n">
        <v>47</v>
      </c>
      <c r="B48" s="15" t="s">
        <v>540</v>
      </c>
      <c r="C48" s="15" t="s">
        <v>207</v>
      </c>
      <c r="D48" s="15" t="s">
        <v>219</v>
      </c>
      <c r="E48" s="15" t="s">
        <v>127</v>
      </c>
      <c r="F48" s="15" t="s">
        <v>541</v>
      </c>
      <c r="G48" s="15" t="n">
        <f aca="false">LEN(F48)</f>
        <v>52</v>
      </c>
      <c r="H48" s="15" t="str">
        <f aca="false">IF(AND(G48&gt;=30,G48&lt;=65),"OK","Review")</f>
        <v>OK</v>
      </c>
      <c r="I48" s="15" t="s">
        <v>542</v>
      </c>
      <c r="J48" s="15" t="n">
        <f aca="false">LEN(I48)</f>
        <v>153</v>
      </c>
      <c r="K48" s="15" t="str">
        <f aca="false">IF(AND(J48&gt;=120,J48&lt;=160),"OK","Review")</f>
        <v>OK</v>
      </c>
      <c r="L48" s="15" t="s">
        <v>543</v>
      </c>
      <c r="M48" s="15" t="s">
        <v>544</v>
      </c>
      <c r="N48" s="15" t="s">
        <v>545</v>
      </c>
      <c r="O48" s="15" t="s">
        <v>546</v>
      </c>
      <c r="P48" s="15" t="s">
        <v>547</v>
      </c>
      <c r="Q48" s="15" t="str">
        <f aca="false">IF(P48="https://lmcmic.ca"&amp;B48,"Yes","No")</f>
        <v>Yes</v>
      </c>
      <c r="R48" s="15" t="s">
        <v>110</v>
      </c>
      <c r="S48" s="15" t="s">
        <v>204</v>
      </c>
      <c r="T48" s="15" t="n">
        <v>3467</v>
      </c>
      <c r="U48" s="15" t="n">
        <v>9</v>
      </c>
      <c r="V48" s="15" t="n">
        <v>22</v>
      </c>
      <c r="W48" s="15" t="s">
        <v>548</v>
      </c>
      <c r="X48" s="15"/>
      <c r="Y48" s="15"/>
      <c r="Z48" s="15" t="s">
        <v>113</v>
      </c>
      <c r="AA48" s="15" t="s">
        <v>113</v>
      </c>
      <c r="AB48" s="15" t="s">
        <v>137</v>
      </c>
      <c r="AC48" s="15" t="s">
        <v>115</v>
      </c>
      <c r="AD48" s="15" t="str">
        <f aca="false">HYPERLINK("https://lmcmic.ca"&amp;B48,"Open")</f>
        <v>Open</v>
      </c>
    </row>
    <row r="49" customFormat="false" ht="35.05" hidden="false" customHeight="false" outlineLevel="0" collapsed="false">
      <c r="A49" s="15" t="n">
        <v>48</v>
      </c>
      <c r="B49" s="15" t="s">
        <v>549</v>
      </c>
      <c r="C49" s="15" t="s">
        <v>184</v>
      </c>
      <c r="D49" s="15" t="s">
        <v>247</v>
      </c>
      <c r="E49" s="15" t="s">
        <v>248</v>
      </c>
      <c r="F49" s="15" t="s">
        <v>550</v>
      </c>
      <c r="G49" s="15" t="n">
        <f aca="false">LEN(F49)</f>
        <v>52</v>
      </c>
      <c r="H49" s="15" t="str">
        <f aca="false">IF(AND(G49&gt;=30,G49&lt;=65),"OK","Review")</f>
        <v>OK</v>
      </c>
      <c r="I49" s="15" t="s">
        <v>551</v>
      </c>
      <c r="J49" s="15" t="n">
        <f aca="false">LEN(I49)</f>
        <v>156</v>
      </c>
      <c r="K49" s="15" t="str">
        <f aca="false">IF(AND(J49&gt;=120,J49&lt;=160),"OK","Review")</f>
        <v>OK</v>
      </c>
      <c r="L49" s="15" t="s">
        <v>550</v>
      </c>
      <c r="M49" s="15" t="s">
        <v>552</v>
      </c>
      <c r="N49" s="15" t="s">
        <v>553</v>
      </c>
      <c r="O49" s="15" t="s">
        <v>554</v>
      </c>
      <c r="P49" s="15" t="s">
        <v>555</v>
      </c>
      <c r="Q49" s="15" t="str">
        <f aca="false">IF(P49="https://lmcmic.ca"&amp;B49,"Yes","No")</f>
        <v>Yes</v>
      </c>
      <c r="R49" s="15" t="s">
        <v>110</v>
      </c>
      <c r="S49" s="15" t="s">
        <v>204</v>
      </c>
      <c r="T49" s="15" t="n">
        <v>2443</v>
      </c>
      <c r="U49" s="15" t="n">
        <v>5</v>
      </c>
      <c r="V49" s="15" t="n">
        <v>4</v>
      </c>
      <c r="W49" s="15" t="s">
        <v>556</v>
      </c>
      <c r="X49" s="15"/>
      <c r="Y49" s="15"/>
      <c r="Z49" s="15" t="s">
        <v>113</v>
      </c>
      <c r="AA49" s="15" t="s">
        <v>113</v>
      </c>
      <c r="AB49" s="15" t="s">
        <v>137</v>
      </c>
      <c r="AC49" s="15" t="s">
        <v>115</v>
      </c>
      <c r="AD49" s="15" t="str">
        <f aca="false">HYPERLINK("https://lmcmic.ca"&amp;B49,"Open")</f>
        <v>Open</v>
      </c>
    </row>
    <row r="50" customFormat="false" ht="35.05" hidden="false" customHeight="false" outlineLevel="0" collapsed="false">
      <c r="A50" s="15" t="n">
        <v>49</v>
      </c>
      <c r="B50" s="15" t="s">
        <v>557</v>
      </c>
      <c r="C50" s="15" t="s">
        <v>558</v>
      </c>
      <c r="D50" s="15" t="s">
        <v>174</v>
      </c>
      <c r="E50" s="15" t="s">
        <v>248</v>
      </c>
      <c r="F50" s="15" t="s">
        <v>559</v>
      </c>
      <c r="G50" s="15" t="n">
        <f aca="false">LEN(F50)</f>
        <v>52</v>
      </c>
      <c r="H50" s="15" t="str">
        <f aca="false">IF(AND(G50&gt;=30,G50&lt;=65),"OK","Review")</f>
        <v>OK</v>
      </c>
      <c r="I50" s="15" t="s">
        <v>560</v>
      </c>
      <c r="J50" s="15" t="n">
        <f aca="false">LEN(I50)</f>
        <v>146</v>
      </c>
      <c r="K50" s="15" t="str">
        <f aca="false">IF(AND(J50&gt;=120,J50&lt;=160),"OK","Review")</f>
        <v>OK</v>
      </c>
      <c r="L50" s="15" t="s">
        <v>561</v>
      </c>
      <c r="M50" s="15" t="s">
        <v>562</v>
      </c>
      <c r="N50" s="15" t="s">
        <v>563</v>
      </c>
      <c r="O50" s="15" t="s">
        <v>564</v>
      </c>
      <c r="P50" s="15" t="s">
        <v>565</v>
      </c>
      <c r="Q50" s="15" t="str">
        <f aca="false">IF(P50="https://lmcmic.ca"&amp;B50,"Yes","No")</f>
        <v>Yes</v>
      </c>
      <c r="R50" s="15" t="s">
        <v>110</v>
      </c>
      <c r="S50" s="15" t="s">
        <v>204</v>
      </c>
      <c r="T50" s="15" t="n">
        <v>3034</v>
      </c>
      <c r="U50" s="15" t="n">
        <v>7</v>
      </c>
      <c r="V50" s="15" t="n">
        <v>4</v>
      </c>
      <c r="W50" s="15" t="s">
        <v>566</v>
      </c>
      <c r="X50" s="15"/>
      <c r="Y50" s="15"/>
      <c r="Z50" s="15" t="s">
        <v>113</v>
      </c>
      <c r="AA50" s="15" t="s">
        <v>113</v>
      </c>
      <c r="AB50" s="15" t="s">
        <v>137</v>
      </c>
      <c r="AC50" s="15" t="s">
        <v>115</v>
      </c>
      <c r="AD50" s="15" t="str">
        <f aca="false">HYPERLINK("https://lmcmic.ca"&amp;B50,"Open")</f>
        <v>Open</v>
      </c>
    </row>
    <row r="51" customFormat="false" ht="35.05" hidden="false" customHeight="false" outlineLevel="0" collapsed="false">
      <c r="A51" s="15" t="n">
        <v>50</v>
      </c>
      <c r="B51" s="15" t="s">
        <v>567</v>
      </c>
      <c r="C51" s="15" t="s">
        <v>558</v>
      </c>
      <c r="D51" s="15" t="s">
        <v>174</v>
      </c>
      <c r="E51" s="15" t="s">
        <v>127</v>
      </c>
      <c r="F51" s="15" t="s">
        <v>568</v>
      </c>
      <c r="G51" s="15" t="n">
        <f aca="false">LEN(F51)</f>
        <v>50</v>
      </c>
      <c r="H51" s="15" t="str">
        <f aca="false">IF(AND(G51&gt;=30,G51&lt;=65),"OK","Review")</f>
        <v>OK</v>
      </c>
      <c r="I51" s="15" t="s">
        <v>569</v>
      </c>
      <c r="J51" s="15" t="n">
        <f aca="false">LEN(I51)</f>
        <v>154</v>
      </c>
      <c r="K51" s="15" t="str">
        <f aca="false">IF(AND(J51&gt;=120,J51&lt;=160),"OK","Review")</f>
        <v>OK</v>
      </c>
      <c r="L51" s="15" t="s">
        <v>570</v>
      </c>
      <c r="M51" s="15" t="s">
        <v>571</v>
      </c>
      <c r="N51" s="15" t="s">
        <v>572</v>
      </c>
      <c r="O51" s="15" t="s">
        <v>573</v>
      </c>
      <c r="P51" s="15" t="s">
        <v>574</v>
      </c>
      <c r="Q51" s="15" t="str">
        <f aca="false">IF(P51="https://lmcmic.ca"&amp;B51,"Yes","No")</f>
        <v>Yes</v>
      </c>
      <c r="R51" s="15" t="s">
        <v>110</v>
      </c>
      <c r="S51" s="15" t="s">
        <v>204</v>
      </c>
      <c r="T51" s="15" t="n">
        <v>3314</v>
      </c>
      <c r="U51" s="15" t="n">
        <v>9</v>
      </c>
      <c r="V51" s="15" t="n">
        <v>3</v>
      </c>
      <c r="W51" s="15" t="s">
        <v>575</v>
      </c>
      <c r="X51" s="15"/>
      <c r="Y51" s="15"/>
      <c r="Z51" s="15" t="s">
        <v>113</v>
      </c>
      <c r="AA51" s="15" t="s">
        <v>113</v>
      </c>
      <c r="AB51" s="15" t="s">
        <v>137</v>
      </c>
      <c r="AC51" s="15" t="s">
        <v>115</v>
      </c>
      <c r="AD51" s="15" t="str">
        <f aca="false">HYPERLINK("https://lmcmic.ca"&amp;B51,"Open")</f>
        <v>Open</v>
      </c>
    </row>
    <row r="52" customFormat="false" ht="35.05" hidden="false" customHeight="false" outlineLevel="0" collapsed="false">
      <c r="A52" s="15" t="n">
        <v>51</v>
      </c>
      <c r="B52" s="15" t="s">
        <v>576</v>
      </c>
      <c r="C52" s="15" t="s">
        <v>184</v>
      </c>
      <c r="D52" s="15" t="s">
        <v>185</v>
      </c>
      <c r="E52" s="15" t="s">
        <v>127</v>
      </c>
      <c r="F52" s="15" t="s">
        <v>577</v>
      </c>
      <c r="G52" s="15" t="n">
        <f aca="false">LEN(F52)</f>
        <v>64</v>
      </c>
      <c r="H52" s="15" t="str">
        <f aca="false">IF(AND(G52&gt;=30,G52&lt;=65),"OK","Review")</f>
        <v>OK</v>
      </c>
      <c r="I52" s="15" t="s">
        <v>578</v>
      </c>
      <c r="J52" s="15" t="n">
        <f aca="false">LEN(I52)</f>
        <v>157</v>
      </c>
      <c r="K52" s="15" t="str">
        <f aca="false">IF(AND(J52&gt;=120,J52&lt;=160),"OK","Review")</f>
        <v>OK</v>
      </c>
      <c r="L52" s="15" t="s">
        <v>579</v>
      </c>
      <c r="M52" s="15" t="s">
        <v>580</v>
      </c>
      <c r="N52" s="15" t="s">
        <v>581</v>
      </c>
      <c r="O52" s="15" t="s">
        <v>582</v>
      </c>
      <c r="P52" s="15" t="s">
        <v>583</v>
      </c>
      <c r="Q52" s="15" t="str">
        <f aca="false">IF(P52="https://lmcmic.ca"&amp;B52,"Yes","No")</f>
        <v>Yes</v>
      </c>
      <c r="R52" s="15" t="s">
        <v>110</v>
      </c>
      <c r="S52" s="15" t="s">
        <v>204</v>
      </c>
      <c r="T52" s="15" t="n">
        <v>3126</v>
      </c>
      <c r="U52" s="15" t="n">
        <v>9</v>
      </c>
      <c r="V52" s="15" t="n">
        <v>3</v>
      </c>
      <c r="W52" s="15" t="s">
        <v>584</v>
      </c>
      <c r="X52" s="15"/>
      <c r="Y52" s="15"/>
      <c r="Z52" s="15" t="s">
        <v>113</v>
      </c>
      <c r="AA52" s="15" t="s">
        <v>113</v>
      </c>
      <c r="AB52" s="15" t="s">
        <v>137</v>
      </c>
      <c r="AC52" s="15" t="s">
        <v>115</v>
      </c>
      <c r="AD52" s="15" t="str">
        <f aca="false">HYPERLINK("https://lmcmic.ca"&amp;B52,"Open")</f>
        <v>Open</v>
      </c>
    </row>
    <row r="53" customFormat="false" ht="35.05" hidden="false" customHeight="false" outlineLevel="0" collapsed="false">
      <c r="A53" s="15" t="n">
        <v>52</v>
      </c>
      <c r="B53" s="15" t="s">
        <v>585</v>
      </c>
      <c r="C53" s="15" t="s">
        <v>184</v>
      </c>
      <c r="D53" s="15" t="s">
        <v>126</v>
      </c>
      <c r="E53" s="15" t="s">
        <v>248</v>
      </c>
      <c r="F53" s="15" t="s">
        <v>586</v>
      </c>
      <c r="G53" s="15" t="n">
        <f aca="false">LEN(F53)</f>
        <v>50</v>
      </c>
      <c r="H53" s="15" t="str">
        <f aca="false">IF(AND(G53&gt;=30,G53&lt;=65),"OK","Review")</f>
        <v>OK</v>
      </c>
      <c r="I53" s="15" t="s">
        <v>587</v>
      </c>
      <c r="J53" s="15" t="n">
        <f aca="false">LEN(I53)</f>
        <v>149</v>
      </c>
      <c r="K53" s="15" t="str">
        <f aca="false">IF(AND(J53&gt;=120,J53&lt;=160),"OK","Review")</f>
        <v>OK</v>
      </c>
      <c r="L53" s="15" t="s">
        <v>586</v>
      </c>
      <c r="M53" s="15" t="s">
        <v>588</v>
      </c>
      <c r="N53" s="15" t="s">
        <v>589</v>
      </c>
      <c r="O53" s="15" t="s">
        <v>590</v>
      </c>
      <c r="P53" s="15" t="s">
        <v>591</v>
      </c>
      <c r="Q53" s="15" t="str">
        <f aca="false">IF(P53="https://lmcmic.ca"&amp;B53,"Yes","No")</f>
        <v>Yes</v>
      </c>
      <c r="R53" s="15" t="s">
        <v>110</v>
      </c>
      <c r="S53" s="15" t="s">
        <v>204</v>
      </c>
      <c r="T53" s="15" t="n">
        <v>2508</v>
      </c>
      <c r="U53" s="15" t="n">
        <v>8</v>
      </c>
      <c r="V53" s="15" t="n">
        <v>4</v>
      </c>
      <c r="W53" s="15" t="s">
        <v>592</v>
      </c>
      <c r="X53" s="15"/>
      <c r="Y53" s="15"/>
      <c r="Z53" s="15" t="s">
        <v>113</v>
      </c>
      <c r="AA53" s="15" t="s">
        <v>113</v>
      </c>
      <c r="AB53" s="15" t="s">
        <v>137</v>
      </c>
      <c r="AC53" s="15" t="s">
        <v>115</v>
      </c>
      <c r="AD53" s="15" t="str">
        <f aca="false">HYPERLINK("https://lmcmic.ca"&amp;B53,"Open")</f>
        <v>Open</v>
      </c>
    </row>
    <row r="54" customFormat="false" ht="35.05" hidden="false" customHeight="false" outlineLevel="0" collapsed="false">
      <c r="A54" s="15" t="n">
        <v>53</v>
      </c>
      <c r="B54" s="15" t="s">
        <v>593</v>
      </c>
      <c r="C54" s="15" t="s">
        <v>558</v>
      </c>
      <c r="D54" s="15" t="s">
        <v>174</v>
      </c>
      <c r="E54" s="15" t="s">
        <v>127</v>
      </c>
      <c r="F54" s="15" t="s">
        <v>594</v>
      </c>
      <c r="G54" s="15" t="n">
        <f aca="false">LEN(F54)</f>
        <v>54</v>
      </c>
      <c r="H54" s="15" t="str">
        <f aca="false">IF(AND(G54&gt;=30,G54&lt;=65),"OK","Review")</f>
        <v>OK</v>
      </c>
      <c r="I54" s="15" t="s">
        <v>595</v>
      </c>
      <c r="J54" s="15" t="n">
        <f aca="false">LEN(I54)</f>
        <v>152</v>
      </c>
      <c r="K54" s="15" t="str">
        <f aca="false">IF(AND(J54&gt;=120,J54&lt;=160),"OK","Review")</f>
        <v>OK</v>
      </c>
      <c r="L54" s="15" t="s">
        <v>596</v>
      </c>
      <c r="M54" s="15" t="s">
        <v>597</v>
      </c>
      <c r="N54" s="15" t="s">
        <v>598</v>
      </c>
      <c r="O54" s="15" t="s">
        <v>599</v>
      </c>
      <c r="P54" s="15" t="s">
        <v>600</v>
      </c>
      <c r="Q54" s="15" t="str">
        <f aca="false">IF(P54="https://lmcmic.ca"&amp;B54,"Yes","No")</f>
        <v>Yes</v>
      </c>
      <c r="R54" s="15" t="s">
        <v>110</v>
      </c>
      <c r="S54" s="15" t="s">
        <v>204</v>
      </c>
      <c r="T54" s="15" t="n">
        <v>2856</v>
      </c>
      <c r="U54" s="15" t="n">
        <v>9</v>
      </c>
      <c r="V54" s="15" t="n">
        <v>7</v>
      </c>
      <c r="W54" s="15" t="s">
        <v>601</v>
      </c>
      <c r="X54" s="15"/>
      <c r="Y54" s="15"/>
      <c r="Z54" s="15" t="s">
        <v>113</v>
      </c>
      <c r="AA54" s="15" t="s">
        <v>113</v>
      </c>
      <c r="AB54" s="15" t="s">
        <v>137</v>
      </c>
      <c r="AC54" s="15" t="s">
        <v>115</v>
      </c>
      <c r="AD54" s="15" t="str">
        <f aca="false">HYPERLINK("https://lmcmic.ca"&amp;B54,"Open")</f>
        <v>Open</v>
      </c>
    </row>
    <row r="55" customFormat="false" ht="35.05" hidden="false" customHeight="false" outlineLevel="0" collapsed="false">
      <c r="A55" s="15" t="n">
        <v>54</v>
      </c>
      <c r="B55" s="15" t="s">
        <v>602</v>
      </c>
      <c r="C55" s="15" t="s">
        <v>558</v>
      </c>
      <c r="D55" s="15" t="s">
        <v>174</v>
      </c>
      <c r="E55" s="15" t="s">
        <v>127</v>
      </c>
      <c r="F55" s="15" t="s">
        <v>603</v>
      </c>
      <c r="G55" s="15" t="n">
        <f aca="false">LEN(F55)</f>
        <v>54</v>
      </c>
      <c r="H55" s="15" t="str">
        <f aca="false">IF(AND(G55&gt;=30,G55&lt;=65),"OK","Review")</f>
        <v>OK</v>
      </c>
      <c r="I55" s="15" t="s">
        <v>604</v>
      </c>
      <c r="J55" s="15" t="n">
        <f aca="false">LEN(I55)</f>
        <v>158</v>
      </c>
      <c r="K55" s="15" t="str">
        <f aca="false">IF(AND(J55&gt;=120,J55&lt;=160),"OK","Review")</f>
        <v>OK</v>
      </c>
      <c r="L55" s="15" t="s">
        <v>605</v>
      </c>
      <c r="M55" s="15" t="s">
        <v>606</v>
      </c>
      <c r="N55" s="15" t="s">
        <v>607</v>
      </c>
      <c r="O55" s="15" t="s">
        <v>608</v>
      </c>
      <c r="P55" s="15" t="s">
        <v>609</v>
      </c>
      <c r="Q55" s="15" t="str">
        <f aca="false">IF(P55="https://lmcmic.ca"&amp;B55,"Yes","No")</f>
        <v>Yes</v>
      </c>
      <c r="R55" s="15" t="s">
        <v>110</v>
      </c>
      <c r="S55" s="15" t="s">
        <v>204</v>
      </c>
      <c r="T55" s="15" t="n">
        <v>3017</v>
      </c>
      <c r="U55" s="15" t="n">
        <v>8</v>
      </c>
      <c r="V55" s="15" t="n">
        <v>2</v>
      </c>
      <c r="W55" s="15" t="s">
        <v>610</v>
      </c>
      <c r="X55" s="15"/>
      <c r="Y55" s="15"/>
      <c r="Z55" s="15" t="s">
        <v>113</v>
      </c>
      <c r="AA55" s="15" t="s">
        <v>113</v>
      </c>
      <c r="AB55" s="15" t="s">
        <v>137</v>
      </c>
      <c r="AC55" s="15" t="s">
        <v>115</v>
      </c>
      <c r="AD55" s="15" t="str">
        <f aca="false">HYPERLINK("https://lmcmic.ca"&amp;B55,"Open")</f>
        <v>Open</v>
      </c>
    </row>
    <row r="56" customFormat="false" ht="35.05" hidden="false" customHeight="false" outlineLevel="0" collapsed="false">
      <c r="A56" s="15" t="n">
        <v>55</v>
      </c>
      <c r="B56" s="15" t="s">
        <v>611</v>
      </c>
      <c r="C56" s="15" t="s">
        <v>558</v>
      </c>
      <c r="D56" s="15" t="s">
        <v>174</v>
      </c>
      <c r="E56" s="15" t="s">
        <v>360</v>
      </c>
      <c r="F56" s="15" t="s">
        <v>612</v>
      </c>
      <c r="G56" s="15" t="n">
        <f aca="false">LEN(F56)</f>
        <v>62</v>
      </c>
      <c r="H56" s="15" t="str">
        <f aca="false">IF(AND(G56&gt;=30,G56&lt;=65),"OK","Review")</f>
        <v>OK</v>
      </c>
      <c r="I56" s="15" t="s">
        <v>613</v>
      </c>
      <c r="J56" s="15" t="n">
        <f aca="false">LEN(I56)</f>
        <v>153</v>
      </c>
      <c r="K56" s="15" t="str">
        <f aca="false">IF(AND(J56&gt;=120,J56&lt;=160),"OK","Review")</f>
        <v>OK</v>
      </c>
      <c r="L56" s="15" t="s">
        <v>614</v>
      </c>
      <c r="M56" s="15" t="s">
        <v>615</v>
      </c>
      <c r="N56" s="15" t="s">
        <v>616</v>
      </c>
      <c r="O56" s="15" t="s">
        <v>617</v>
      </c>
      <c r="P56" s="15" t="s">
        <v>618</v>
      </c>
      <c r="Q56" s="15" t="str">
        <f aca="false">IF(P56="https://lmcmic.ca"&amp;B56,"Yes","No")</f>
        <v>Yes</v>
      </c>
      <c r="R56" s="15" t="s">
        <v>110</v>
      </c>
      <c r="S56" s="15" t="s">
        <v>204</v>
      </c>
      <c r="T56" s="15" t="n">
        <v>2313</v>
      </c>
      <c r="U56" s="15" t="n">
        <v>7</v>
      </c>
      <c r="V56" s="15" t="n">
        <v>2</v>
      </c>
      <c r="W56" s="15" t="s">
        <v>619</v>
      </c>
      <c r="X56" s="15"/>
      <c r="Y56" s="15"/>
      <c r="Z56" s="15" t="s">
        <v>113</v>
      </c>
      <c r="AA56" s="15" t="s">
        <v>113</v>
      </c>
      <c r="AB56" s="15" t="s">
        <v>137</v>
      </c>
      <c r="AC56" s="15" t="s">
        <v>115</v>
      </c>
      <c r="AD56" s="15" t="str">
        <f aca="false">HYPERLINK("https://lmcmic.ca"&amp;B56,"Open")</f>
        <v>Open</v>
      </c>
    </row>
    <row r="57" customFormat="false" ht="35.05" hidden="false" customHeight="false" outlineLevel="0" collapsed="false">
      <c r="A57" s="15" t="n">
        <v>56</v>
      </c>
      <c r="B57" s="15" t="s">
        <v>620</v>
      </c>
      <c r="C57" s="15" t="s">
        <v>207</v>
      </c>
      <c r="D57" s="15" t="s">
        <v>126</v>
      </c>
      <c r="E57" s="15" t="s">
        <v>127</v>
      </c>
      <c r="F57" s="15" t="s">
        <v>621</v>
      </c>
      <c r="G57" s="15" t="n">
        <f aca="false">LEN(F57)</f>
        <v>47</v>
      </c>
      <c r="H57" s="15" t="str">
        <f aca="false">IF(AND(G57&gt;=30,G57&lt;=65),"OK","Review")</f>
        <v>OK</v>
      </c>
      <c r="I57" s="15" t="s">
        <v>622</v>
      </c>
      <c r="J57" s="15" t="n">
        <f aca="false">LEN(I57)</f>
        <v>150</v>
      </c>
      <c r="K57" s="15" t="str">
        <f aca="false">IF(AND(J57&gt;=120,J57&lt;=160),"OK","Review")</f>
        <v>OK</v>
      </c>
      <c r="L57" s="15" t="s">
        <v>623</v>
      </c>
      <c r="M57" s="15" t="s">
        <v>624</v>
      </c>
      <c r="N57" s="15" t="s">
        <v>625</v>
      </c>
      <c r="O57" s="15" t="s">
        <v>626</v>
      </c>
      <c r="P57" s="15" t="s">
        <v>627</v>
      </c>
      <c r="Q57" s="15" t="str">
        <f aca="false">IF(P57="https://lmcmic.ca"&amp;B57,"Yes","No")</f>
        <v>Yes</v>
      </c>
      <c r="R57" s="15" t="s">
        <v>110</v>
      </c>
      <c r="S57" s="15" t="s">
        <v>204</v>
      </c>
      <c r="T57" s="15" t="n">
        <v>2725</v>
      </c>
      <c r="U57" s="15" t="n">
        <v>9</v>
      </c>
      <c r="V57" s="15" t="n">
        <v>5</v>
      </c>
      <c r="W57" s="15" t="s">
        <v>628</v>
      </c>
      <c r="X57" s="15"/>
      <c r="Y57" s="15"/>
      <c r="Z57" s="15" t="s">
        <v>113</v>
      </c>
      <c r="AA57" s="15" t="s">
        <v>113</v>
      </c>
      <c r="AB57" s="15" t="s">
        <v>137</v>
      </c>
      <c r="AC57" s="15" t="s">
        <v>115</v>
      </c>
      <c r="AD57" s="15" t="str">
        <f aca="false">HYPERLINK("https://lmcmic.ca"&amp;B57,"Open")</f>
        <v>Open</v>
      </c>
    </row>
    <row r="58" customFormat="false" ht="35.05" hidden="false" customHeight="false" outlineLevel="0" collapsed="false">
      <c r="A58" s="15" t="n">
        <v>57</v>
      </c>
      <c r="B58" s="15" t="s">
        <v>629</v>
      </c>
      <c r="C58" s="15" t="s">
        <v>558</v>
      </c>
      <c r="D58" s="15" t="s">
        <v>174</v>
      </c>
      <c r="E58" s="15" t="s">
        <v>360</v>
      </c>
      <c r="F58" s="15" t="s">
        <v>630</v>
      </c>
      <c r="G58" s="15" t="n">
        <f aca="false">LEN(F58)</f>
        <v>58</v>
      </c>
      <c r="H58" s="15" t="str">
        <f aca="false">IF(AND(G58&gt;=30,G58&lt;=65),"OK","Review")</f>
        <v>OK</v>
      </c>
      <c r="I58" s="15" t="s">
        <v>631</v>
      </c>
      <c r="J58" s="15" t="n">
        <f aca="false">LEN(I58)</f>
        <v>153</v>
      </c>
      <c r="K58" s="15" t="str">
        <f aca="false">IF(AND(J58&gt;=120,J58&lt;=160),"OK","Review")</f>
        <v>OK</v>
      </c>
      <c r="L58" s="15" t="s">
        <v>632</v>
      </c>
      <c r="M58" s="15" t="s">
        <v>633</v>
      </c>
      <c r="N58" s="15" t="s">
        <v>634</v>
      </c>
      <c r="O58" s="15" t="s">
        <v>635</v>
      </c>
      <c r="P58" s="15" t="s">
        <v>636</v>
      </c>
      <c r="Q58" s="15" t="str">
        <f aca="false">IF(P58="https://lmcmic.ca"&amp;B58,"Yes","No")</f>
        <v>Yes</v>
      </c>
      <c r="R58" s="15" t="s">
        <v>110</v>
      </c>
      <c r="S58" s="15" t="s">
        <v>204</v>
      </c>
      <c r="T58" s="15" t="n">
        <v>3157</v>
      </c>
      <c r="U58" s="15" t="n">
        <v>9</v>
      </c>
      <c r="V58" s="15" t="n">
        <v>2</v>
      </c>
      <c r="W58" s="15" t="s">
        <v>637</v>
      </c>
      <c r="X58" s="15"/>
      <c r="Y58" s="15"/>
      <c r="Z58" s="15" t="s">
        <v>113</v>
      </c>
      <c r="AA58" s="15" t="s">
        <v>113</v>
      </c>
      <c r="AB58" s="15" t="s">
        <v>137</v>
      </c>
      <c r="AC58" s="15" t="s">
        <v>115</v>
      </c>
      <c r="AD58" s="15" t="str">
        <f aca="false">HYPERLINK("https://lmcmic.ca"&amp;B58,"Open")</f>
        <v>Open</v>
      </c>
    </row>
    <row r="59" customFormat="false" ht="35.05" hidden="false" customHeight="false" outlineLevel="0" collapsed="false">
      <c r="A59" s="15" t="n">
        <v>58</v>
      </c>
      <c r="B59" s="15" t="s">
        <v>638</v>
      </c>
      <c r="C59" s="15" t="s">
        <v>558</v>
      </c>
      <c r="D59" s="15" t="s">
        <v>196</v>
      </c>
      <c r="E59" s="15" t="s">
        <v>248</v>
      </c>
      <c r="F59" s="15" t="s">
        <v>639</v>
      </c>
      <c r="G59" s="15" t="n">
        <f aca="false">LEN(F59)</f>
        <v>53</v>
      </c>
      <c r="H59" s="15" t="str">
        <f aca="false">IF(AND(G59&gt;=30,G59&lt;=65),"OK","Review")</f>
        <v>OK</v>
      </c>
      <c r="I59" s="15" t="s">
        <v>640</v>
      </c>
      <c r="J59" s="15" t="n">
        <f aca="false">LEN(I59)</f>
        <v>157</v>
      </c>
      <c r="K59" s="15" t="str">
        <f aca="false">IF(AND(J59&gt;=120,J59&lt;=160),"OK","Review")</f>
        <v>OK</v>
      </c>
      <c r="L59" s="15" t="s">
        <v>641</v>
      </c>
      <c r="M59" s="15" t="s">
        <v>633</v>
      </c>
      <c r="N59" s="15" t="s">
        <v>642</v>
      </c>
      <c r="O59" s="15" t="s">
        <v>643</v>
      </c>
      <c r="P59" s="15" t="s">
        <v>644</v>
      </c>
      <c r="Q59" s="15" t="str">
        <f aca="false">IF(P59="https://lmcmic.ca"&amp;B59,"Yes","No")</f>
        <v>Yes</v>
      </c>
      <c r="R59" s="15" t="s">
        <v>110</v>
      </c>
      <c r="S59" s="15" t="s">
        <v>204</v>
      </c>
      <c r="T59" s="15" t="n">
        <v>2585</v>
      </c>
      <c r="U59" s="15" t="n">
        <v>9</v>
      </c>
      <c r="V59" s="15" t="n">
        <v>6</v>
      </c>
      <c r="W59" s="15" t="s">
        <v>645</v>
      </c>
      <c r="X59" s="15"/>
      <c r="Y59" s="15"/>
      <c r="Z59" s="15" t="s">
        <v>113</v>
      </c>
      <c r="AA59" s="15" t="s">
        <v>113</v>
      </c>
      <c r="AB59" s="15" t="s">
        <v>137</v>
      </c>
      <c r="AC59" s="15" t="s">
        <v>115</v>
      </c>
      <c r="AD59" s="15" t="str">
        <f aca="false">HYPERLINK("https://lmcmic.ca"&amp;B59,"Open")</f>
        <v>Open</v>
      </c>
    </row>
    <row r="60" customFormat="false" ht="35.05" hidden="false" customHeight="false" outlineLevel="0" collapsed="false">
      <c r="A60" s="15" t="n">
        <v>59</v>
      </c>
      <c r="B60" s="15" t="s">
        <v>646</v>
      </c>
      <c r="C60" s="15" t="s">
        <v>350</v>
      </c>
      <c r="D60" s="15" t="s">
        <v>208</v>
      </c>
      <c r="E60" s="15" t="s">
        <v>127</v>
      </c>
      <c r="F60" s="15" t="s">
        <v>647</v>
      </c>
      <c r="G60" s="15" t="n">
        <f aca="false">LEN(F60)</f>
        <v>54</v>
      </c>
      <c r="H60" s="15" t="str">
        <f aca="false">IF(AND(G60&gt;=30,G60&lt;=65),"OK","Review")</f>
        <v>OK</v>
      </c>
      <c r="I60" s="15" t="s">
        <v>648</v>
      </c>
      <c r="J60" s="15" t="n">
        <f aca="false">LEN(I60)</f>
        <v>152</v>
      </c>
      <c r="K60" s="15" t="str">
        <f aca="false">IF(AND(J60&gt;=120,J60&lt;=160),"OK","Review")</f>
        <v>OK</v>
      </c>
      <c r="L60" s="15" t="s">
        <v>647</v>
      </c>
      <c r="M60" s="15" t="s">
        <v>649</v>
      </c>
      <c r="N60" s="15" t="s">
        <v>650</v>
      </c>
      <c r="O60" s="15" t="s">
        <v>651</v>
      </c>
      <c r="P60" s="15" t="s">
        <v>652</v>
      </c>
      <c r="Q60" s="15" t="str">
        <f aca="false">IF(P60="https://lmcmic.ca"&amp;B60,"Yes","No")</f>
        <v>Yes</v>
      </c>
      <c r="R60" s="15" t="s">
        <v>110</v>
      </c>
      <c r="S60" s="15" t="s">
        <v>204</v>
      </c>
      <c r="T60" s="15" t="n">
        <v>3165</v>
      </c>
      <c r="U60" s="15" t="n">
        <v>9</v>
      </c>
      <c r="V60" s="15" t="n">
        <v>5</v>
      </c>
      <c r="W60" s="15" t="s">
        <v>653</v>
      </c>
      <c r="X60" s="15"/>
      <c r="Y60" s="15"/>
      <c r="Z60" s="15" t="s">
        <v>113</v>
      </c>
      <c r="AA60" s="15" t="s">
        <v>113</v>
      </c>
      <c r="AB60" s="15" t="s">
        <v>137</v>
      </c>
      <c r="AC60" s="15" t="s">
        <v>115</v>
      </c>
      <c r="AD60" s="15" t="str">
        <f aca="false">HYPERLINK("https://lmcmic.ca"&amp;B60,"Open")</f>
        <v>Open</v>
      </c>
    </row>
    <row r="61" customFormat="false" ht="35.05" hidden="false" customHeight="false" outlineLevel="0" collapsed="false">
      <c r="A61" s="15" t="n">
        <v>60</v>
      </c>
      <c r="B61" s="15" t="s">
        <v>654</v>
      </c>
      <c r="C61" s="15" t="s">
        <v>350</v>
      </c>
      <c r="D61" s="15" t="s">
        <v>208</v>
      </c>
      <c r="E61" s="15" t="s">
        <v>248</v>
      </c>
      <c r="F61" s="15" t="s">
        <v>655</v>
      </c>
      <c r="G61" s="15" t="n">
        <f aca="false">LEN(F61)</f>
        <v>48</v>
      </c>
      <c r="H61" s="15" t="str">
        <f aca="false">IF(AND(G61&gt;=30,G61&lt;=65),"OK","Review")</f>
        <v>OK</v>
      </c>
      <c r="I61" s="15" t="s">
        <v>656</v>
      </c>
      <c r="J61" s="15" t="n">
        <f aca="false">LEN(I61)</f>
        <v>156</v>
      </c>
      <c r="K61" s="15" t="str">
        <f aca="false">IF(AND(J61&gt;=120,J61&lt;=160),"OK","Review")</f>
        <v>OK</v>
      </c>
      <c r="L61" s="15" t="s">
        <v>655</v>
      </c>
      <c r="M61" s="15" t="s">
        <v>657</v>
      </c>
      <c r="N61" s="15" t="s">
        <v>658</v>
      </c>
      <c r="O61" s="15" t="s">
        <v>659</v>
      </c>
      <c r="P61" s="15" t="s">
        <v>660</v>
      </c>
      <c r="Q61" s="15" t="str">
        <f aca="false">IF(P61="https://lmcmic.ca"&amp;B61,"Yes","No")</f>
        <v>Yes</v>
      </c>
      <c r="R61" s="15" t="s">
        <v>110</v>
      </c>
      <c r="S61" s="15" t="s">
        <v>204</v>
      </c>
      <c r="T61" s="15" t="n">
        <v>3096</v>
      </c>
      <c r="U61" s="15" t="n">
        <v>7</v>
      </c>
      <c r="V61" s="15" t="n">
        <v>3</v>
      </c>
      <c r="W61" s="15" t="s">
        <v>661</v>
      </c>
      <c r="X61" s="15"/>
      <c r="Y61" s="15"/>
      <c r="Z61" s="15" t="s">
        <v>113</v>
      </c>
      <c r="AA61" s="15" t="s">
        <v>113</v>
      </c>
      <c r="AB61" s="15" t="s">
        <v>137</v>
      </c>
      <c r="AC61" s="15" t="s">
        <v>115</v>
      </c>
      <c r="AD61" s="15" t="str">
        <f aca="false">HYPERLINK("https://lmcmic.ca"&amp;B61,"Open")</f>
        <v>Open</v>
      </c>
    </row>
    <row r="62" customFormat="false" ht="35.05" hidden="false" customHeight="false" outlineLevel="0" collapsed="false">
      <c r="A62" s="15" t="n">
        <v>61</v>
      </c>
      <c r="B62" s="15" t="s">
        <v>662</v>
      </c>
      <c r="C62" s="15" t="s">
        <v>350</v>
      </c>
      <c r="D62" s="15" t="s">
        <v>208</v>
      </c>
      <c r="E62" s="15" t="s">
        <v>127</v>
      </c>
      <c r="F62" s="15" t="s">
        <v>663</v>
      </c>
      <c r="G62" s="15" t="n">
        <f aca="false">LEN(F62)</f>
        <v>47</v>
      </c>
      <c r="H62" s="15" t="str">
        <f aca="false">IF(AND(G62&gt;=30,G62&lt;=65),"OK","Review")</f>
        <v>OK</v>
      </c>
      <c r="I62" s="15" t="s">
        <v>664</v>
      </c>
      <c r="J62" s="15" t="n">
        <f aca="false">LEN(I62)</f>
        <v>148</v>
      </c>
      <c r="K62" s="15" t="str">
        <f aca="false">IF(AND(J62&gt;=120,J62&lt;=160),"OK","Review")</f>
        <v>OK</v>
      </c>
      <c r="L62" s="15" t="s">
        <v>665</v>
      </c>
      <c r="M62" s="15" t="s">
        <v>666</v>
      </c>
      <c r="N62" s="15" t="s">
        <v>667</v>
      </c>
      <c r="O62" s="15" t="s">
        <v>668</v>
      </c>
      <c r="P62" s="15" t="s">
        <v>669</v>
      </c>
      <c r="Q62" s="15" t="str">
        <f aca="false">IF(P62="https://lmcmic.ca"&amp;B62,"Yes","No")</f>
        <v>Yes</v>
      </c>
      <c r="R62" s="15" t="s">
        <v>110</v>
      </c>
      <c r="S62" s="15" t="s">
        <v>204</v>
      </c>
      <c r="T62" s="15" t="n">
        <v>3185</v>
      </c>
      <c r="U62" s="15" t="n">
        <v>8</v>
      </c>
      <c r="V62" s="15" t="n">
        <v>8</v>
      </c>
      <c r="W62" s="15" t="s">
        <v>670</v>
      </c>
      <c r="X62" s="15"/>
      <c r="Y62" s="15"/>
      <c r="Z62" s="15" t="s">
        <v>113</v>
      </c>
      <c r="AA62" s="15" t="s">
        <v>113</v>
      </c>
      <c r="AB62" s="15" t="s">
        <v>137</v>
      </c>
      <c r="AC62" s="15" t="s">
        <v>115</v>
      </c>
      <c r="AD62" s="15" t="str">
        <f aca="false">HYPERLINK("https://lmcmic.ca"&amp;B62,"Open")</f>
        <v>Open</v>
      </c>
    </row>
    <row r="63" customFormat="false" ht="35.05" hidden="false" customHeight="false" outlineLevel="0" collapsed="false">
      <c r="A63" s="15" t="n">
        <v>62</v>
      </c>
      <c r="B63" s="15" t="s">
        <v>671</v>
      </c>
      <c r="C63" s="15" t="s">
        <v>350</v>
      </c>
      <c r="D63" s="15" t="s">
        <v>208</v>
      </c>
      <c r="E63" s="15" t="s">
        <v>127</v>
      </c>
      <c r="F63" s="15" t="s">
        <v>672</v>
      </c>
      <c r="G63" s="15" t="n">
        <f aca="false">LEN(F63)</f>
        <v>46</v>
      </c>
      <c r="H63" s="15" t="str">
        <f aca="false">IF(AND(G63&gt;=30,G63&lt;=65),"OK","Review")</f>
        <v>OK</v>
      </c>
      <c r="I63" s="15" t="s">
        <v>673</v>
      </c>
      <c r="J63" s="15" t="n">
        <f aca="false">LEN(I63)</f>
        <v>153</v>
      </c>
      <c r="K63" s="15" t="str">
        <f aca="false">IF(AND(J63&gt;=120,J63&lt;=160),"OK","Review")</f>
        <v>OK</v>
      </c>
      <c r="L63" s="15" t="s">
        <v>672</v>
      </c>
      <c r="M63" s="15" t="s">
        <v>674</v>
      </c>
      <c r="N63" s="15" t="s">
        <v>675</v>
      </c>
      <c r="O63" s="15" t="s">
        <v>676</v>
      </c>
      <c r="P63" s="15" t="s">
        <v>677</v>
      </c>
      <c r="Q63" s="15" t="str">
        <f aca="false">IF(P63="https://lmcmic.ca"&amp;B63,"Yes","No")</f>
        <v>Yes</v>
      </c>
      <c r="R63" s="15" t="s">
        <v>110</v>
      </c>
      <c r="S63" s="15" t="s">
        <v>204</v>
      </c>
      <c r="T63" s="15" t="n">
        <v>3222</v>
      </c>
      <c r="U63" s="15" t="n">
        <v>9</v>
      </c>
      <c r="V63" s="15" t="n">
        <v>4</v>
      </c>
      <c r="W63" s="15" t="s">
        <v>678</v>
      </c>
      <c r="X63" s="15"/>
      <c r="Y63" s="15"/>
      <c r="Z63" s="15" t="s">
        <v>113</v>
      </c>
      <c r="AA63" s="15" t="s">
        <v>113</v>
      </c>
      <c r="AB63" s="15" t="s">
        <v>137</v>
      </c>
      <c r="AC63" s="15" t="s">
        <v>115</v>
      </c>
      <c r="AD63" s="15" t="str">
        <f aca="false">HYPERLINK("https://lmcmic.ca"&amp;B63,"Open")</f>
        <v>Open</v>
      </c>
    </row>
    <row r="64" customFormat="false" ht="35.05" hidden="false" customHeight="false" outlineLevel="0" collapsed="false">
      <c r="A64" s="15" t="n">
        <v>63</v>
      </c>
      <c r="B64" s="15" t="s">
        <v>679</v>
      </c>
      <c r="C64" s="15" t="s">
        <v>184</v>
      </c>
      <c r="D64" s="15" t="s">
        <v>219</v>
      </c>
      <c r="E64" s="15" t="s">
        <v>248</v>
      </c>
      <c r="F64" s="15" t="s">
        <v>680</v>
      </c>
      <c r="G64" s="15" t="n">
        <f aca="false">LEN(F64)</f>
        <v>53</v>
      </c>
      <c r="H64" s="15" t="str">
        <f aca="false">IF(AND(G64&gt;=30,G64&lt;=65),"OK","Review")</f>
        <v>OK</v>
      </c>
      <c r="I64" s="15" t="s">
        <v>681</v>
      </c>
      <c r="J64" s="15" t="n">
        <f aca="false">LEN(I64)</f>
        <v>153</v>
      </c>
      <c r="K64" s="15" t="str">
        <f aca="false">IF(AND(J64&gt;=120,J64&lt;=160),"OK","Review")</f>
        <v>OK</v>
      </c>
      <c r="L64" s="15" t="s">
        <v>682</v>
      </c>
      <c r="M64" s="15" t="s">
        <v>683</v>
      </c>
      <c r="N64" s="15" t="s">
        <v>684</v>
      </c>
      <c r="O64" s="15" t="s">
        <v>685</v>
      </c>
      <c r="P64" s="15" t="s">
        <v>686</v>
      </c>
      <c r="Q64" s="15" t="str">
        <f aca="false">IF(P64="https://lmcmic.ca"&amp;B64,"Yes","No")</f>
        <v>Yes</v>
      </c>
      <c r="R64" s="15" t="s">
        <v>110</v>
      </c>
      <c r="S64" s="15" t="s">
        <v>204</v>
      </c>
      <c r="T64" s="15" t="n">
        <v>2907</v>
      </c>
      <c r="U64" s="15" t="n">
        <v>9</v>
      </c>
      <c r="V64" s="15" t="n">
        <v>6</v>
      </c>
      <c r="W64" s="15" t="s">
        <v>687</v>
      </c>
      <c r="X64" s="15"/>
      <c r="Y64" s="15"/>
      <c r="Z64" s="15" t="s">
        <v>113</v>
      </c>
      <c r="AA64" s="15" t="s">
        <v>113</v>
      </c>
      <c r="AB64" s="15" t="s">
        <v>137</v>
      </c>
      <c r="AC64" s="15" t="s">
        <v>115</v>
      </c>
      <c r="AD64" s="15" t="str">
        <f aca="false">HYPERLINK("https://lmcmic.ca"&amp;B64,"Open")</f>
        <v>Open</v>
      </c>
    </row>
    <row r="65" customFormat="false" ht="35.05" hidden="false" customHeight="false" outlineLevel="0" collapsed="false">
      <c r="A65" s="15" t="n">
        <v>64</v>
      </c>
      <c r="B65" s="15" t="s">
        <v>688</v>
      </c>
      <c r="C65" s="15" t="s">
        <v>218</v>
      </c>
      <c r="D65" s="15" t="s">
        <v>268</v>
      </c>
      <c r="E65" s="15" t="s">
        <v>127</v>
      </c>
      <c r="F65" s="15" t="s">
        <v>689</v>
      </c>
      <c r="G65" s="15" t="n">
        <f aca="false">LEN(F65)</f>
        <v>44</v>
      </c>
      <c r="H65" s="15" t="str">
        <f aca="false">IF(AND(G65&gt;=30,G65&lt;=65),"OK","Review")</f>
        <v>OK</v>
      </c>
      <c r="I65" s="15" t="s">
        <v>690</v>
      </c>
      <c r="J65" s="15" t="n">
        <f aca="false">LEN(I65)</f>
        <v>157</v>
      </c>
      <c r="K65" s="15" t="str">
        <f aca="false">IF(AND(J65&gt;=120,J65&lt;=160),"OK","Review")</f>
        <v>OK</v>
      </c>
      <c r="L65" s="15" t="s">
        <v>691</v>
      </c>
      <c r="M65" s="15" t="s">
        <v>692</v>
      </c>
      <c r="N65" s="15" t="s">
        <v>693</v>
      </c>
      <c r="O65" s="15" t="s">
        <v>694</v>
      </c>
      <c r="P65" s="15" t="s">
        <v>695</v>
      </c>
      <c r="Q65" s="15" t="str">
        <f aca="false">IF(P65="https://lmcmic.ca"&amp;B65,"Yes","No")</f>
        <v>Yes</v>
      </c>
      <c r="R65" s="15" t="s">
        <v>110</v>
      </c>
      <c r="S65" s="15" t="s">
        <v>204</v>
      </c>
      <c r="T65" s="15" t="n">
        <v>2613</v>
      </c>
      <c r="U65" s="15" t="n">
        <v>8</v>
      </c>
      <c r="V65" s="15" t="n">
        <v>8</v>
      </c>
      <c r="W65" s="15" t="s">
        <v>696</v>
      </c>
      <c r="X65" s="15"/>
      <c r="Y65" s="15"/>
      <c r="Z65" s="15" t="s">
        <v>113</v>
      </c>
      <c r="AA65" s="15" t="s">
        <v>113</v>
      </c>
      <c r="AB65" s="15" t="s">
        <v>137</v>
      </c>
      <c r="AC65" s="15" t="s">
        <v>115</v>
      </c>
      <c r="AD65" s="15" t="str">
        <f aca="false">HYPERLINK("https://lmcmic.ca"&amp;B65,"Open")</f>
        <v>Open</v>
      </c>
    </row>
    <row r="66" customFormat="false" ht="35.05" hidden="false" customHeight="false" outlineLevel="0" collapsed="false">
      <c r="A66" s="15" t="n">
        <v>65</v>
      </c>
      <c r="B66" s="15" t="s">
        <v>697</v>
      </c>
      <c r="C66" s="15" t="s">
        <v>184</v>
      </c>
      <c r="D66" s="15" t="s">
        <v>219</v>
      </c>
      <c r="E66" s="15" t="s">
        <v>127</v>
      </c>
      <c r="F66" s="15" t="s">
        <v>698</v>
      </c>
      <c r="G66" s="15" t="n">
        <f aca="false">LEN(F66)</f>
        <v>50</v>
      </c>
      <c r="H66" s="15" t="str">
        <f aca="false">IF(AND(G66&gt;=30,G66&lt;=65),"OK","Review")</f>
        <v>OK</v>
      </c>
      <c r="I66" s="15" t="s">
        <v>699</v>
      </c>
      <c r="J66" s="15" t="n">
        <f aca="false">LEN(I66)</f>
        <v>157</v>
      </c>
      <c r="K66" s="15" t="str">
        <f aca="false">IF(AND(J66&gt;=120,J66&lt;=160),"OK","Review")</f>
        <v>OK</v>
      </c>
      <c r="L66" s="15" t="s">
        <v>698</v>
      </c>
      <c r="M66" s="15" t="s">
        <v>700</v>
      </c>
      <c r="N66" s="15" t="s">
        <v>701</v>
      </c>
      <c r="O66" s="15" t="s">
        <v>702</v>
      </c>
      <c r="P66" s="15" t="s">
        <v>703</v>
      </c>
      <c r="Q66" s="15" t="str">
        <f aca="false">IF(P66="https://lmcmic.ca"&amp;B66,"Yes","No")</f>
        <v>Yes</v>
      </c>
      <c r="R66" s="15" t="s">
        <v>110</v>
      </c>
      <c r="S66" s="15" t="s">
        <v>204</v>
      </c>
      <c r="T66" s="15" t="n">
        <v>3209</v>
      </c>
      <c r="U66" s="15" t="n">
        <v>9</v>
      </c>
      <c r="V66" s="15" t="n">
        <v>5</v>
      </c>
      <c r="W66" s="15" t="s">
        <v>704</v>
      </c>
      <c r="X66" s="15"/>
      <c r="Y66" s="15"/>
      <c r="Z66" s="15" t="s">
        <v>113</v>
      </c>
      <c r="AA66" s="15" t="s">
        <v>113</v>
      </c>
      <c r="AB66" s="15" t="s">
        <v>137</v>
      </c>
      <c r="AC66" s="15" t="s">
        <v>115</v>
      </c>
      <c r="AD66" s="15" t="str">
        <f aca="false">HYPERLINK("https://lmcmic.ca"&amp;B66,"Open")</f>
        <v>Open</v>
      </c>
    </row>
    <row r="67" customFormat="false" ht="35.05" hidden="false" customHeight="false" outlineLevel="0" collapsed="false">
      <c r="A67" s="15" t="n">
        <v>66</v>
      </c>
      <c r="B67" s="15" t="s">
        <v>705</v>
      </c>
      <c r="C67" s="15" t="s">
        <v>558</v>
      </c>
      <c r="D67" s="15" t="s">
        <v>196</v>
      </c>
      <c r="E67" s="15" t="s">
        <v>248</v>
      </c>
      <c r="F67" s="15" t="s">
        <v>706</v>
      </c>
      <c r="G67" s="15" t="n">
        <f aca="false">LEN(F67)</f>
        <v>57</v>
      </c>
      <c r="H67" s="15" t="str">
        <f aca="false">IF(AND(G67&gt;=30,G67&lt;=65),"OK","Review")</f>
        <v>OK</v>
      </c>
      <c r="I67" s="15" t="s">
        <v>707</v>
      </c>
      <c r="J67" s="15" t="n">
        <f aca="false">LEN(I67)</f>
        <v>151</v>
      </c>
      <c r="K67" s="15" t="str">
        <f aca="false">IF(AND(J67&gt;=120,J67&lt;=160),"OK","Review")</f>
        <v>OK</v>
      </c>
      <c r="L67" s="15" t="s">
        <v>708</v>
      </c>
      <c r="M67" s="15" t="s">
        <v>562</v>
      </c>
      <c r="N67" s="15" t="s">
        <v>709</v>
      </c>
      <c r="O67" s="15" t="s">
        <v>710</v>
      </c>
      <c r="P67" s="15" t="s">
        <v>711</v>
      </c>
      <c r="Q67" s="15" t="str">
        <f aca="false">IF(P67="https://lmcmic.ca"&amp;B67,"Yes","No")</f>
        <v>Yes</v>
      </c>
      <c r="R67" s="15" t="s">
        <v>110</v>
      </c>
      <c r="S67" s="15" t="s">
        <v>204</v>
      </c>
      <c r="T67" s="15" t="n">
        <v>2559</v>
      </c>
      <c r="U67" s="15" t="n">
        <v>8</v>
      </c>
      <c r="V67" s="15" t="n">
        <v>5</v>
      </c>
      <c r="W67" s="15" t="s">
        <v>712</v>
      </c>
      <c r="X67" s="15"/>
      <c r="Y67" s="15"/>
      <c r="Z67" s="15" t="s">
        <v>113</v>
      </c>
      <c r="AA67" s="15" t="s">
        <v>113</v>
      </c>
      <c r="AB67" s="15" t="s">
        <v>137</v>
      </c>
      <c r="AC67" s="15" t="s">
        <v>115</v>
      </c>
      <c r="AD67" s="15" t="str">
        <f aca="false">HYPERLINK("https://lmcmic.ca"&amp;B67,"Open")</f>
        <v>Open</v>
      </c>
    </row>
    <row r="68" customFormat="false" ht="35.05" hidden="false" customHeight="false" outlineLevel="0" collapsed="false">
      <c r="A68" s="15" t="n">
        <v>67</v>
      </c>
      <c r="B68" s="15" t="s">
        <v>713</v>
      </c>
      <c r="C68" s="15" t="s">
        <v>558</v>
      </c>
      <c r="D68" s="15" t="s">
        <v>196</v>
      </c>
      <c r="E68" s="15" t="s">
        <v>127</v>
      </c>
      <c r="F68" s="15" t="s">
        <v>714</v>
      </c>
      <c r="G68" s="15" t="n">
        <f aca="false">LEN(F68)</f>
        <v>53</v>
      </c>
      <c r="H68" s="15" t="str">
        <f aca="false">IF(AND(G68&gt;=30,G68&lt;=65),"OK","Review")</f>
        <v>OK</v>
      </c>
      <c r="I68" s="15" t="s">
        <v>715</v>
      </c>
      <c r="J68" s="15" t="n">
        <f aca="false">LEN(I68)</f>
        <v>158</v>
      </c>
      <c r="K68" s="15" t="str">
        <f aca="false">IF(AND(J68&gt;=120,J68&lt;=160),"OK","Review")</f>
        <v>OK</v>
      </c>
      <c r="L68" s="15" t="s">
        <v>716</v>
      </c>
      <c r="M68" s="15" t="s">
        <v>717</v>
      </c>
      <c r="N68" s="15" t="s">
        <v>718</v>
      </c>
      <c r="O68" s="15" t="s">
        <v>719</v>
      </c>
      <c r="P68" s="15" t="s">
        <v>720</v>
      </c>
      <c r="Q68" s="15" t="str">
        <f aca="false">IF(P68="https://lmcmic.ca"&amp;B68,"Yes","No")</f>
        <v>Yes</v>
      </c>
      <c r="R68" s="15" t="s">
        <v>110</v>
      </c>
      <c r="S68" s="15" t="s">
        <v>204</v>
      </c>
      <c r="T68" s="15" t="n">
        <v>3384</v>
      </c>
      <c r="U68" s="15" t="n">
        <v>9</v>
      </c>
      <c r="V68" s="15" t="n">
        <v>5</v>
      </c>
      <c r="W68" s="15" t="s">
        <v>721</v>
      </c>
      <c r="X68" s="15"/>
      <c r="Y68" s="15"/>
      <c r="Z68" s="15" t="s">
        <v>113</v>
      </c>
      <c r="AA68" s="15" t="s">
        <v>113</v>
      </c>
      <c r="AB68" s="15" t="s">
        <v>137</v>
      </c>
      <c r="AC68" s="15" t="s">
        <v>115</v>
      </c>
      <c r="AD68" s="15" t="str">
        <f aca="false">HYPERLINK("https://lmcmic.ca"&amp;B68,"Open")</f>
        <v>Open</v>
      </c>
    </row>
    <row r="69" customFormat="false" ht="35.05" hidden="false" customHeight="false" outlineLevel="0" collapsed="false">
      <c r="A69" s="15" t="n">
        <v>68</v>
      </c>
      <c r="B69" s="15" t="s">
        <v>722</v>
      </c>
      <c r="C69" s="15" t="s">
        <v>207</v>
      </c>
      <c r="D69" s="15" t="s">
        <v>196</v>
      </c>
      <c r="E69" s="15" t="s">
        <v>127</v>
      </c>
      <c r="F69" s="15" t="s">
        <v>723</v>
      </c>
      <c r="G69" s="15" t="n">
        <f aca="false">LEN(F69)</f>
        <v>63</v>
      </c>
      <c r="H69" s="15" t="str">
        <f aca="false">IF(AND(G69&gt;=30,G69&lt;=65),"OK","Review")</f>
        <v>OK</v>
      </c>
      <c r="I69" s="15" t="s">
        <v>724</v>
      </c>
      <c r="J69" s="15" t="n">
        <f aca="false">LEN(I69)</f>
        <v>156</v>
      </c>
      <c r="K69" s="15" t="str">
        <f aca="false">IF(AND(J69&gt;=120,J69&lt;=160),"OK","Review")</f>
        <v>OK</v>
      </c>
      <c r="L69" s="15" t="s">
        <v>725</v>
      </c>
      <c r="M69" s="15" t="s">
        <v>726</v>
      </c>
      <c r="N69" s="15" t="s">
        <v>727</v>
      </c>
      <c r="O69" s="15" t="s">
        <v>728</v>
      </c>
      <c r="P69" s="15" t="s">
        <v>729</v>
      </c>
      <c r="Q69" s="15" t="str">
        <f aca="false">IF(P69="https://lmcmic.ca"&amp;B69,"Yes","No")</f>
        <v>Yes</v>
      </c>
      <c r="R69" s="15" t="s">
        <v>110</v>
      </c>
      <c r="S69" s="15" t="s">
        <v>204</v>
      </c>
      <c r="T69" s="15" t="n">
        <v>3844</v>
      </c>
      <c r="U69" s="15" t="n">
        <v>10</v>
      </c>
      <c r="V69" s="15" t="n">
        <v>14</v>
      </c>
      <c r="W69" s="15" t="s">
        <v>730</v>
      </c>
      <c r="X69" s="15"/>
      <c r="Y69" s="15"/>
      <c r="Z69" s="15" t="s">
        <v>113</v>
      </c>
      <c r="AA69" s="15" t="s">
        <v>113</v>
      </c>
      <c r="AB69" s="15" t="s">
        <v>137</v>
      </c>
      <c r="AC69" s="15" t="s">
        <v>115</v>
      </c>
      <c r="AD69" s="15" t="str">
        <f aca="false">HYPERLINK("https://lmcmic.ca"&amp;B69,"Open")</f>
        <v>Open</v>
      </c>
    </row>
    <row r="70" customFormat="false" ht="35.05" hidden="false" customHeight="false" outlineLevel="0" collapsed="false">
      <c r="A70" s="15" t="n">
        <v>69</v>
      </c>
      <c r="B70" s="15" t="s">
        <v>731</v>
      </c>
      <c r="C70" s="15" t="s">
        <v>558</v>
      </c>
      <c r="D70" s="15" t="s">
        <v>196</v>
      </c>
      <c r="E70" s="15" t="s">
        <v>127</v>
      </c>
      <c r="F70" s="15" t="s">
        <v>732</v>
      </c>
      <c r="G70" s="15" t="n">
        <f aca="false">LEN(F70)</f>
        <v>49</v>
      </c>
      <c r="H70" s="15" t="str">
        <f aca="false">IF(AND(G70&gt;=30,G70&lt;=65),"OK","Review")</f>
        <v>OK</v>
      </c>
      <c r="I70" s="15" t="s">
        <v>733</v>
      </c>
      <c r="J70" s="15" t="n">
        <f aca="false">LEN(I70)</f>
        <v>150</v>
      </c>
      <c r="K70" s="15" t="str">
        <f aca="false">IF(AND(J70&gt;=120,J70&lt;=160),"OK","Review")</f>
        <v>OK</v>
      </c>
      <c r="L70" s="15" t="s">
        <v>734</v>
      </c>
      <c r="M70" s="15" t="s">
        <v>735</v>
      </c>
      <c r="N70" s="15" t="s">
        <v>736</v>
      </c>
      <c r="O70" s="15" t="s">
        <v>737</v>
      </c>
      <c r="P70" s="15" t="s">
        <v>738</v>
      </c>
      <c r="Q70" s="15" t="str">
        <f aca="false">IF(P70="https://lmcmic.ca"&amp;B70,"Yes","No")</f>
        <v>Yes</v>
      </c>
      <c r="R70" s="15" t="s">
        <v>110</v>
      </c>
      <c r="S70" s="15" t="s">
        <v>204</v>
      </c>
      <c r="T70" s="15" t="n">
        <v>2570</v>
      </c>
      <c r="U70" s="15" t="n">
        <v>8</v>
      </c>
      <c r="V70" s="15" t="n">
        <v>7</v>
      </c>
      <c r="W70" s="15" t="s">
        <v>739</v>
      </c>
      <c r="X70" s="15"/>
      <c r="Y70" s="15"/>
      <c r="Z70" s="15" t="s">
        <v>113</v>
      </c>
      <c r="AA70" s="15" t="s">
        <v>113</v>
      </c>
      <c r="AB70" s="15" t="s">
        <v>137</v>
      </c>
      <c r="AC70" s="15" t="s">
        <v>115</v>
      </c>
      <c r="AD70" s="15" t="str">
        <f aca="false">HYPERLINK("https://lmcmic.ca"&amp;B70,"Open")</f>
        <v>Open</v>
      </c>
    </row>
    <row r="71" customFormat="false" ht="35.05" hidden="false" customHeight="false" outlineLevel="0" collapsed="false">
      <c r="A71" s="15" t="n">
        <v>70</v>
      </c>
      <c r="B71" s="15" t="s">
        <v>740</v>
      </c>
      <c r="C71" s="15" t="s">
        <v>207</v>
      </c>
      <c r="D71" s="15" t="s">
        <v>268</v>
      </c>
      <c r="E71" s="15" t="s">
        <v>127</v>
      </c>
      <c r="F71" s="15" t="s">
        <v>741</v>
      </c>
      <c r="G71" s="15" t="n">
        <f aca="false">LEN(F71)</f>
        <v>65</v>
      </c>
      <c r="H71" s="15" t="str">
        <f aca="false">IF(AND(G71&gt;=30,G71&lt;=65),"OK","Review")</f>
        <v>OK</v>
      </c>
      <c r="I71" s="15" t="s">
        <v>742</v>
      </c>
      <c r="J71" s="15" t="n">
        <f aca="false">LEN(I71)</f>
        <v>153</v>
      </c>
      <c r="K71" s="15" t="str">
        <f aca="false">IF(AND(J71&gt;=120,J71&lt;=160),"OK","Review")</f>
        <v>OK</v>
      </c>
      <c r="L71" s="15" t="s">
        <v>743</v>
      </c>
      <c r="M71" s="15" t="s">
        <v>142</v>
      </c>
      <c r="N71" s="15" t="s">
        <v>744</v>
      </c>
      <c r="O71" s="15" t="s">
        <v>745</v>
      </c>
      <c r="P71" s="15" t="s">
        <v>746</v>
      </c>
      <c r="Q71" s="15" t="str">
        <f aca="false">IF(P71="https://lmcmic.ca"&amp;B71,"Yes","No")</f>
        <v>Yes</v>
      </c>
      <c r="R71" s="15" t="s">
        <v>110</v>
      </c>
      <c r="S71" s="15" t="s">
        <v>204</v>
      </c>
      <c r="T71" s="15" t="n">
        <v>2846</v>
      </c>
      <c r="U71" s="15" t="n">
        <v>8</v>
      </c>
      <c r="V71" s="15" t="n">
        <v>10</v>
      </c>
      <c r="W71" s="15" t="s">
        <v>747</v>
      </c>
      <c r="X71" s="15"/>
      <c r="Y71" s="15"/>
      <c r="Z71" s="15" t="s">
        <v>113</v>
      </c>
      <c r="AA71" s="15" t="s">
        <v>113</v>
      </c>
      <c r="AB71" s="15" t="s">
        <v>137</v>
      </c>
      <c r="AC71" s="15" t="s">
        <v>115</v>
      </c>
      <c r="AD71" s="15" t="str">
        <f aca="false">HYPERLINK("https://lmcmic.ca"&amp;B71,"Open")</f>
        <v>Open</v>
      </c>
    </row>
    <row r="72" customFormat="false" ht="35.05" hidden="false" customHeight="false" outlineLevel="0" collapsed="false">
      <c r="A72" s="15" t="n">
        <v>71</v>
      </c>
      <c r="B72" s="15" t="s">
        <v>748</v>
      </c>
      <c r="C72" s="15" t="s">
        <v>207</v>
      </c>
      <c r="D72" s="15" t="s">
        <v>219</v>
      </c>
      <c r="E72" s="15" t="s">
        <v>127</v>
      </c>
      <c r="F72" s="15" t="s">
        <v>749</v>
      </c>
      <c r="G72" s="15" t="n">
        <f aca="false">LEN(F72)</f>
        <v>57</v>
      </c>
      <c r="H72" s="15" t="str">
        <f aca="false">IF(AND(G72&gt;=30,G72&lt;=65),"OK","Review")</f>
        <v>OK</v>
      </c>
      <c r="I72" s="15" t="s">
        <v>750</v>
      </c>
      <c r="J72" s="15" t="n">
        <f aca="false">LEN(I72)</f>
        <v>156</v>
      </c>
      <c r="K72" s="15" t="str">
        <f aca="false">IF(AND(J72&gt;=120,J72&lt;=160),"OK","Review")</f>
        <v>OK</v>
      </c>
      <c r="L72" s="15" t="s">
        <v>751</v>
      </c>
      <c r="M72" s="15" t="s">
        <v>752</v>
      </c>
      <c r="N72" s="15" t="s">
        <v>753</v>
      </c>
      <c r="O72" s="15" t="s">
        <v>754</v>
      </c>
      <c r="P72" s="15" t="s">
        <v>755</v>
      </c>
      <c r="Q72" s="15" t="str">
        <f aca="false">IF(P72="https://lmcmic.ca"&amp;B72,"Yes","No")</f>
        <v>Yes</v>
      </c>
      <c r="R72" s="15" t="s">
        <v>110</v>
      </c>
      <c r="S72" s="15" t="s">
        <v>204</v>
      </c>
      <c r="T72" s="15" t="n">
        <v>3446</v>
      </c>
      <c r="U72" s="15" t="n">
        <v>8</v>
      </c>
      <c r="V72" s="15" t="n">
        <v>36</v>
      </c>
      <c r="W72" s="15" t="s">
        <v>756</v>
      </c>
      <c r="X72" s="15"/>
      <c r="Y72" s="15"/>
      <c r="Z72" s="15" t="s">
        <v>113</v>
      </c>
      <c r="AA72" s="15" t="s">
        <v>113</v>
      </c>
      <c r="AB72" s="15" t="s">
        <v>137</v>
      </c>
      <c r="AC72" s="15" t="s">
        <v>115</v>
      </c>
      <c r="AD72" s="15" t="str">
        <f aca="false">HYPERLINK("https://lmcmic.ca"&amp;B72,"Open")</f>
        <v>Open</v>
      </c>
    </row>
    <row r="73" customFormat="false" ht="35.05" hidden="false" customHeight="false" outlineLevel="0" collapsed="false">
      <c r="A73" s="15" t="n">
        <v>72</v>
      </c>
      <c r="B73" s="15" t="s">
        <v>757</v>
      </c>
      <c r="C73" s="15" t="s">
        <v>258</v>
      </c>
      <c r="D73" s="15" t="s">
        <v>196</v>
      </c>
      <c r="E73" s="15" t="s">
        <v>127</v>
      </c>
      <c r="F73" s="15" t="s">
        <v>758</v>
      </c>
      <c r="G73" s="15" t="n">
        <f aca="false">LEN(F73)</f>
        <v>47</v>
      </c>
      <c r="H73" s="15" t="str">
        <f aca="false">IF(AND(G73&gt;=30,G73&lt;=65),"OK","Review")</f>
        <v>OK</v>
      </c>
      <c r="I73" s="15" t="s">
        <v>759</v>
      </c>
      <c r="J73" s="15" t="n">
        <f aca="false">LEN(I73)</f>
        <v>154</v>
      </c>
      <c r="K73" s="15" t="str">
        <f aca="false">IF(AND(J73&gt;=120,J73&lt;=160),"OK","Review")</f>
        <v>OK</v>
      </c>
      <c r="L73" s="15" t="s">
        <v>760</v>
      </c>
      <c r="M73" s="15" t="s">
        <v>761</v>
      </c>
      <c r="N73" s="15" t="s">
        <v>762</v>
      </c>
      <c r="O73" s="15" t="s">
        <v>763</v>
      </c>
      <c r="P73" s="15" t="s">
        <v>764</v>
      </c>
      <c r="Q73" s="15" t="str">
        <f aca="false">IF(P73="https://lmcmic.ca"&amp;B73,"Yes","No")</f>
        <v>Yes</v>
      </c>
      <c r="R73" s="15" t="s">
        <v>110</v>
      </c>
      <c r="S73" s="15" t="s">
        <v>204</v>
      </c>
      <c r="T73" s="15" t="n">
        <v>3465</v>
      </c>
      <c r="U73" s="15" t="n">
        <v>9</v>
      </c>
      <c r="V73" s="15" t="n">
        <v>14</v>
      </c>
      <c r="W73" s="15" t="s">
        <v>765</v>
      </c>
      <c r="X73" s="15"/>
      <c r="Y73" s="15"/>
      <c r="Z73" s="15" t="s">
        <v>113</v>
      </c>
      <c r="AA73" s="15" t="s">
        <v>113</v>
      </c>
      <c r="AB73" s="15" t="s">
        <v>137</v>
      </c>
      <c r="AC73" s="15" t="s">
        <v>115</v>
      </c>
      <c r="AD73" s="15" t="str">
        <f aca="false">HYPERLINK("https://lmcmic.ca"&amp;B73,"Open")</f>
        <v>Open</v>
      </c>
    </row>
    <row r="74" customFormat="false" ht="35.05" hidden="false" customHeight="false" outlineLevel="0" collapsed="false">
      <c r="A74" s="15" t="n">
        <v>73</v>
      </c>
      <c r="B74" s="15" t="s">
        <v>766</v>
      </c>
      <c r="C74" s="15" t="s">
        <v>350</v>
      </c>
      <c r="D74" s="15" t="s">
        <v>247</v>
      </c>
      <c r="E74" s="15" t="s">
        <v>127</v>
      </c>
      <c r="F74" s="15" t="s">
        <v>767</v>
      </c>
      <c r="G74" s="15" t="n">
        <f aca="false">LEN(F74)</f>
        <v>49</v>
      </c>
      <c r="H74" s="15" t="str">
        <f aca="false">IF(AND(G74&gt;=30,G74&lt;=65),"OK","Review")</f>
        <v>OK</v>
      </c>
      <c r="I74" s="15" t="s">
        <v>768</v>
      </c>
      <c r="J74" s="15" t="n">
        <f aca="false">LEN(I74)</f>
        <v>153</v>
      </c>
      <c r="K74" s="15" t="str">
        <f aca="false">IF(AND(J74&gt;=120,J74&lt;=160),"OK","Review")</f>
        <v>OK</v>
      </c>
      <c r="L74" s="15" t="s">
        <v>769</v>
      </c>
      <c r="M74" s="15" t="s">
        <v>770</v>
      </c>
      <c r="N74" s="15" t="s">
        <v>771</v>
      </c>
      <c r="O74" s="15" t="s">
        <v>772</v>
      </c>
      <c r="P74" s="15" t="s">
        <v>773</v>
      </c>
      <c r="Q74" s="15" t="str">
        <f aca="false">IF(P74="https://lmcmic.ca"&amp;B74,"Yes","No")</f>
        <v>Yes</v>
      </c>
      <c r="R74" s="15" t="s">
        <v>110</v>
      </c>
      <c r="S74" s="15" t="s">
        <v>204</v>
      </c>
      <c r="T74" s="15" t="n">
        <v>3214</v>
      </c>
      <c r="U74" s="15" t="n">
        <v>8</v>
      </c>
      <c r="V74" s="15" t="n">
        <v>8</v>
      </c>
      <c r="W74" s="15" t="s">
        <v>774</v>
      </c>
      <c r="X74" s="15"/>
      <c r="Y74" s="15"/>
      <c r="Z74" s="15" t="s">
        <v>113</v>
      </c>
      <c r="AA74" s="15" t="s">
        <v>113</v>
      </c>
      <c r="AB74" s="15" t="s">
        <v>137</v>
      </c>
      <c r="AC74" s="15" t="s">
        <v>115</v>
      </c>
      <c r="AD74" s="15" t="str">
        <f aca="false">HYPERLINK("https://lmcmic.ca"&amp;B74,"Open")</f>
        <v>Open</v>
      </c>
    </row>
    <row r="75" customFormat="false" ht="35.05" hidden="false" customHeight="false" outlineLevel="0" collapsed="false">
      <c r="A75" s="15" t="n">
        <v>74</v>
      </c>
      <c r="B75" s="15" t="s">
        <v>775</v>
      </c>
      <c r="C75" s="15" t="s">
        <v>207</v>
      </c>
      <c r="D75" s="15" t="s">
        <v>196</v>
      </c>
      <c r="E75" s="15" t="s">
        <v>127</v>
      </c>
      <c r="F75" s="15" t="s">
        <v>776</v>
      </c>
      <c r="G75" s="15" t="n">
        <f aca="false">LEN(F75)</f>
        <v>65</v>
      </c>
      <c r="H75" s="15" t="str">
        <f aca="false">IF(AND(G75&gt;=30,G75&lt;=65),"OK","Review")</f>
        <v>OK</v>
      </c>
      <c r="I75" s="15" t="s">
        <v>777</v>
      </c>
      <c r="J75" s="15" t="n">
        <f aca="false">LEN(I75)</f>
        <v>155</v>
      </c>
      <c r="K75" s="15" t="str">
        <f aca="false">IF(AND(J75&gt;=120,J75&lt;=160),"OK","Review")</f>
        <v>OK</v>
      </c>
      <c r="L75" s="15" t="s">
        <v>778</v>
      </c>
      <c r="M75" s="15" t="s">
        <v>779</v>
      </c>
      <c r="N75" s="15" t="s">
        <v>780</v>
      </c>
      <c r="O75" s="15" t="s">
        <v>383</v>
      </c>
      <c r="P75" s="15" t="s">
        <v>781</v>
      </c>
      <c r="Q75" s="15" t="str">
        <f aca="false">IF(P75="https://lmcmic.ca"&amp;B75,"Yes","No")</f>
        <v>Yes</v>
      </c>
      <c r="R75" s="15" t="s">
        <v>110</v>
      </c>
      <c r="S75" s="15" t="s">
        <v>204</v>
      </c>
      <c r="T75" s="15" t="n">
        <v>3413</v>
      </c>
      <c r="U75" s="15" t="n">
        <v>10</v>
      </c>
      <c r="V75" s="15" t="n">
        <v>18</v>
      </c>
      <c r="W75" s="15" t="s">
        <v>782</v>
      </c>
      <c r="X75" s="15"/>
      <c r="Y75" s="15"/>
      <c r="Z75" s="15" t="s">
        <v>113</v>
      </c>
      <c r="AA75" s="15" t="s">
        <v>113</v>
      </c>
      <c r="AB75" s="15" t="s">
        <v>137</v>
      </c>
      <c r="AC75" s="15" t="s">
        <v>115</v>
      </c>
      <c r="AD75" s="15" t="str">
        <f aca="false">HYPERLINK("https://lmcmic.ca"&amp;B75,"Open")</f>
        <v>Open</v>
      </c>
    </row>
    <row r="76" customFormat="false" ht="35.05" hidden="false" customHeight="false" outlineLevel="0" collapsed="false">
      <c r="A76" s="15" t="n">
        <v>75</v>
      </c>
      <c r="B76" s="15" t="s">
        <v>783</v>
      </c>
      <c r="C76" s="15" t="s">
        <v>184</v>
      </c>
      <c r="D76" s="15" t="s">
        <v>268</v>
      </c>
      <c r="E76" s="15" t="s">
        <v>248</v>
      </c>
      <c r="F76" s="15" t="s">
        <v>784</v>
      </c>
      <c r="G76" s="15" t="n">
        <f aca="false">LEN(F76)</f>
        <v>51</v>
      </c>
      <c r="H76" s="15" t="str">
        <f aca="false">IF(AND(G76&gt;=30,G76&lt;=65),"OK","Review")</f>
        <v>OK</v>
      </c>
      <c r="I76" s="15" t="s">
        <v>785</v>
      </c>
      <c r="J76" s="15" t="n">
        <f aca="false">LEN(I76)</f>
        <v>149</v>
      </c>
      <c r="K76" s="15" t="str">
        <f aca="false">IF(AND(J76&gt;=120,J76&lt;=160),"OK","Review")</f>
        <v>OK</v>
      </c>
      <c r="L76" s="15" t="s">
        <v>786</v>
      </c>
      <c r="M76" s="15" t="s">
        <v>787</v>
      </c>
      <c r="N76" s="15" t="s">
        <v>788</v>
      </c>
      <c r="O76" s="15" t="s">
        <v>789</v>
      </c>
      <c r="P76" s="15" t="s">
        <v>790</v>
      </c>
      <c r="Q76" s="15" t="str">
        <f aca="false">IF(P76="https://lmcmic.ca"&amp;B76,"Yes","No")</f>
        <v>Yes</v>
      </c>
      <c r="R76" s="15" t="s">
        <v>110</v>
      </c>
      <c r="S76" s="15" t="s">
        <v>204</v>
      </c>
      <c r="T76" s="15" t="n">
        <v>2738</v>
      </c>
      <c r="U76" s="15" t="n">
        <v>8</v>
      </c>
      <c r="V76" s="15" t="n">
        <v>9</v>
      </c>
      <c r="W76" s="15" t="s">
        <v>791</v>
      </c>
      <c r="X76" s="15"/>
      <c r="Y76" s="15"/>
      <c r="Z76" s="15" t="s">
        <v>113</v>
      </c>
      <c r="AA76" s="15" t="s">
        <v>113</v>
      </c>
      <c r="AB76" s="15" t="s">
        <v>137</v>
      </c>
      <c r="AC76" s="15" t="s">
        <v>115</v>
      </c>
      <c r="AD76" s="15" t="str">
        <f aca="false">HYPERLINK("https://lmcmic.ca"&amp;B76,"Open")</f>
        <v>Open</v>
      </c>
    </row>
    <row r="77" customFormat="false" ht="35.05" hidden="false" customHeight="false" outlineLevel="0" collapsed="false">
      <c r="A77" s="15" t="n">
        <v>76</v>
      </c>
      <c r="B77" s="15" t="s">
        <v>792</v>
      </c>
      <c r="C77" s="15" t="s">
        <v>432</v>
      </c>
      <c r="D77" s="15" t="s">
        <v>219</v>
      </c>
      <c r="E77" s="15" t="s">
        <v>127</v>
      </c>
      <c r="F77" s="15" t="s">
        <v>793</v>
      </c>
      <c r="G77" s="15" t="n">
        <f aca="false">LEN(F77)</f>
        <v>63</v>
      </c>
      <c r="H77" s="15" t="str">
        <f aca="false">IF(AND(G77&gt;=30,G77&lt;=65),"OK","Review")</f>
        <v>OK</v>
      </c>
      <c r="I77" s="15" t="s">
        <v>794</v>
      </c>
      <c r="J77" s="15" t="n">
        <f aca="false">LEN(I77)</f>
        <v>156</v>
      </c>
      <c r="K77" s="15" t="str">
        <f aca="false">IF(AND(J77&gt;=120,J77&lt;=160),"OK","Review")</f>
        <v>OK</v>
      </c>
      <c r="L77" s="15" t="s">
        <v>795</v>
      </c>
      <c r="M77" s="15" t="s">
        <v>796</v>
      </c>
      <c r="N77" s="15" t="s">
        <v>797</v>
      </c>
      <c r="O77" s="15" t="s">
        <v>798</v>
      </c>
      <c r="P77" s="15" t="s">
        <v>799</v>
      </c>
      <c r="Q77" s="15" t="str">
        <f aca="false">IF(P77="https://lmcmic.ca"&amp;B77,"Yes","No")</f>
        <v>Yes</v>
      </c>
      <c r="R77" s="15" t="s">
        <v>110</v>
      </c>
      <c r="S77" s="15" t="s">
        <v>204</v>
      </c>
      <c r="T77" s="15" t="n">
        <v>3336</v>
      </c>
      <c r="U77" s="15" t="n">
        <v>9</v>
      </c>
      <c r="V77" s="15" t="n">
        <v>21</v>
      </c>
      <c r="W77" s="15" t="s">
        <v>800</v>
      </c>
      <c r="X77" s="15"/>
      <c r="Y77" s="15"/>
      <c r="Z77" s="15" t="s">
        <v>113</v>
      </c>
      <c r="AA77" s="15" t="s">
        <v>113</v>
      </c>
      <c r="AB77" s="15" t="s">
        <v>137</v>
      </c>
      <c r="AC77" s="15" t="s">
        <v>115</v>
      </c>
      <c r="AD77" s="15" t="str">
        <f aca="false">HYPERLINK("https://lmcmic.ca"&amp;B77,"Open")</f>
        <v>Open</v>
      </c>
    </row>
    <row r="78" customFormat="false" ht="35.05" hidden="false" customHeight="false" outlineLevel="0" collapsed="false">
      <c r="A78" s="15" t="n">
        <v>77</v>
      </c>
      <c r="B78" s="15" t="s">
        <v>801</v>
      </c>
      <c r="C78" s="15" t="s">
        <v>184</v>
      </c>
      <c r="D78" s="15" t="s">
        <v>196</v>
      </c>
      <c r="E78" s="15" t="s">
        <v>248</v>
      </c>
      <c r="F78" s="15" t="s">
        <v>802</v>
      </c>
      <c r="G78" s="15" t="n">
        <f aca="false">LEN(F78)</f>
        <v>62</v>
      </c>
      <c r="H78" s="15" t="str">
        <f aca="false">IF(AND(G78&gt;=30,G78&lt;=65),"OK","Review")</f>
        <v>OK</v>
      </c>
      <c r="I78" s="15" t="s">
        <v>803</v>
      </c>
      <c r="J78" s="15" t="n">
        <f aca="false">LEN(I78)</f>
        <v>156</v>
      </c>
      <c r="K78" s="15" t="str">
        <f aca="false">IF(AND(J78&gt;=120,J78&lt;=160),"OK","Review")</f>
        <v>OK</v>
      </c>
      <c r="L78" s="15" t="s">
        <v>804</v>
      </c>
      <c r="M78" s="15" t="s">
        <v>805</v>
      </c>
      <c r="N78" s="15" t="s">
        <v>806</v>
      </c>
      <c r="O78" s="15" t="s">
        <v>807</v>
      </c>
      <c r="P78" s="15" t="s">
        <v>808</v>
      </c>
      <c r="Q78" s="15" t="str">
        <f aca="false">IF(P78="https://lmcmic.ca"&amp;B78,"Yes","No")</f>
        <v>Yes</v>
      </c>
      <c r="R78" s="15" t="s">
        <v>110</v>
      </c>
      <c r="S78" s="15" t="s">
        <v>204</v>
      </c>
      <c r="T78" s="15" t="n">
        <v>2595</v>
      </c>
      <c r="U78" s="15" t="n">
        <v>8</v>
      </c>
      <c r="V78" s="15" t="n">
        <v>2</v>
      </c>
      <c r="W78" s="15" t="s">
        <v>809</v>
      </c>
      <c r="X78" s="15"/>
      <c r="Y78" s="15"/>
      <c r="Z78" s="15" t="s">
        <v>113</v>
      </c>
      <c r="AA78" s="15" t="s">
        <v>113</v>
      </c>
      <c r="AB78" s="15" t="s">
        <v>137</v>
      </c>
      <c r="AC78" s="15" t="s">
        <v>115</v>
      </c>
      <c r="AD78" s="15" t="str">
        <f aca="false">HYPERLINK("https://lmcmic.ca"&amp;B78,"Open")</f>
        <v>Open</v>
      </c>
    </row>
    <row r="79" customFormat="false" ht="35.05" hidden="false" customHeight="false" outlineLevel="0" collapsed="false">
      <c r="A79" s="15" t="n">
        <v>78</v>
      </c>
      <c r="B79" s="15" t="s">
        <v>810</v>
      </c>
      <c r="C79" s="15" t="s">
        <v>184</v>
      </c>
      <c r="D79" s="15" t="s">
        <v>219</v>
      </c>
      <c r="E79" s="15" t="s">
        <v>127</v>
      </c>
      <c r="F79" s="15" t="s">
        <v>811</v>
      </c>
      <c r="G79" s="15" t="n">
        <f aca="false">LEN(F79)</f>
        <v>52</v>
      </c>
      <c r="H79" s="15" t="str">
        <f aca="false">IF(AND(G79&gt;=30,G79&lt;=65),"OK","Review")</f>
        <v>OK</v>
      </c>
      <c r="I79" s="15" t="s">
        <v>812</v>
      </c>
      <c r="J79" s="15" t="n">
        <f aca="false">LEN(I79)</f>
        <v>152</v>
      </c>
      <c r="K79" s="15" t="str">
        <f aca="false">IF(AND(J79&gt;=120,J79&lt;=160),"OK","Review")</f>
        <v>OK</v>
      </c>
      <c r="L79" s="15" t="s">
        <v>813</v>
      </c>
      <c r="M79" s="15" t="s">
        <v>814</v>
      </c>
      <c r="N79" s="15" t="s">
        <v>815</v>
      </c>
      <c r="O79" s="15" t="s">
        <v>816</v>
      </c>
      <c r="P79" s="15" t="s">
        <v>817</v>
      </c>
      <c r="Q79" s="15" t="str">
        <f aca="false">IF(P79="https://lmcmic.ca"&amp;B79,"Yes","No")</f>
        <v>Yes</v>
      </c>
      <c r="R79" s="15" t="s">
        <v>110</v>
      </c>
      <c r="S79" s="15" t="s">
        <v>204</v>
      </c>
      <c r="T79" s="15" t="n">
        <v>2717</v>
      </c>
      <c r="U79" s="15" t="n">
        <v>9</v>
      </c>
      <c r="V79" s="15" t="n">
        <v>12</v>
      </c>
      <c r="W79" s="15" t="s">
        <v>818</v>
      </c>
      <c r="X79" s="15"/>
      <c r="Y79" s="15"/>
      <c r="Z79" s="15" t="s">
        <v>113</v>
      </c>
      <c r="AA79" s="15" t="s">
        <v>113</v>
      </c>
      <c r="AB79" s="15" t="s">
        <v>137</v>
      </c>
      <c r="AC79" s="15" t="s">
        <v>115</v>
      </c>
      <c r="AD79" s="15" t="str">
        <f aca="false">HYPERLINK("https://lmcmic.ca"&amp;B79,"Open")</f>
        <v>Open</v>
      </c>
    </row>
    <row r="80" customFormat="false" ht="35.05" hidden="false" customHeight="false" outlineLevel="0" collapsed="false">
      <c r="A80" s="15" t="n">
        <v>79</v>
      </c>
      <c r="B80" s="15" t="s">
        <v>819</v>
      </c>
      <c r="C80" s="15" t="s">
        <v>218</v>
      </c>
      <c r="D80" s="15" t="s">
        <v>196</v>
      </c>
      <c r="E80" s="15" t="s">
        <v>127</v>
      </c>
      <c r="F80" s="15" t="s">
        <v>820</v>
      </c>
      <c r="G80" s="15" t="n">
        <f aca="false">LEN(F80)</f>
        <v>54</v>
      </c>
      <c r="H80" s="15" t="str">
        <f aca="false">IF(AND(G80&gt;=30,G80&lt;=65),"OK","Review")</f>
        <v>OK</v>
      </c>
      <c r="I80" s="15" t="s">
        <v>821</v>
      </c>
      <c r="J80" s="15" t="n">
        <f aca="false">LEN(I80)</f>
        <v>157</v>
      </c>
      <c r="K80" s="15" t="str">
        <f aca="false">IF(AND(J80&gt;=120,J80&lt;=160),"OK","Review")</f>
        <v>OK</v>
      </c>
      <c r="L80" s="15" t="s">
        <v>822</v>
      </c>
      <c r="M80" s="15" t="s">
        <v>823</v>
      </c>
      <c r="N80" s="15" t="s">
        <v>824</v>
      </c>
      <c r="O80" s="15" t="s">
        <v>825</v>
      </c>
      <c r="P80" s="15" t="s">
        <v>826</v>
      </c>
      <c r="Q80" s="15" t="str">
        <f aca="false">IF(P80="https://lmcmic.ca"&amp;B80,"Yes","No")</f>
        <v>Yes</v>
      </c>
      <c r="R80" s="15" t="s">
        <v>110</v>
      </c>
      <c r="S80" s="15" t="s">
        <v>204</v>
      </c>
      <c r="T80" s="15" t="n">
        <v>3188</v>
      </c>
      <c r="U80" s="15" t="n">
        <v>9</v>
      </c>
      <c r="V80" s="15" t="n">
        <v>10</v>
      </c>
      <c r="W80" s="15" t="s">
        <v>827</v>
      </c>
      <c r="X80" s="15"/>
      <c r="Y80" s="15"/>
      <c r="Z80" s="15" t="s">
        <v>113</v>
      </c>
      <c r="AA80" s="15" t="s">
        <v>113</v>
      </c>
      <c r="AB80" s="15" t="s">
        <v>137</v>
      </c>
      <c r="AC80" s="15" t="s">
        <v>115</v>
      </c>
      <c r="AD80" s="15" t="str">
        <f aca="false">HYPERLINK("https://lmcmic.ca"&amp;B80,"Open")</f>
        <v>Open</v>
      </c>
    </row>
    <row r="81" customFormat="false" ht="35.05" hidden="false" customHeight="false" outlineLevel="0" collapsed="false">
      <c r="A81" s="15" t="n">
        <v>80</v>
      </c>
      <c r="B81" s="15" t="s">
        <v>828</v>
      </c>
      <c r="C81" s="15" t="s">
        <v>184</v>
      </c>
      <c r="D81" s="15" t="s">
        <v>219</v>
      </c>
      <c r="E81" s="15" t="s">
        <v>248</v>
      </c>
      <c r="F81" s="15" t="s">
        <v>829</v>
      </c>
      <c r="G81" s="15" t="n">
        <f aca="false">LEN(F81)</f>
        <v>52</v>
      </c>
      <c r="H81" s="15" t="str">
        <f aca="false">IF(AND(G81&gt;=30,G81&lt;=65),"OK","Review")</f>
        <v>OK</v>
      </c>
      <c r="I81" s="15" t="s">
        <v>830</v>
      </c>
      <c r="J81" s="15" t="n">
        <f aca="false">LEN(I81)</f>
        <v>151</v>
      </c>
      <c r="K81" s="15" t="str">
        <f aca="false">IF(AND(J81&gt;=120,J81&lt;=160),"OK","Review")</f>
        <v>OK</v>
      </c>
      <c r="L81" s="15" t="s">
        <v>831</v>
      </c>
      <c r="M81" s="15" t="s">
        <v>832</v>
      </c>
      <c r="N81" s="15" t="s">
        <v>833</v>
      </c>
      <c r="O81" s="15" t="s">
        <v>834</v>
      </c>
      <c r="P81" s="15" t="s">
        <v>835</v>
      </c>
      <c r="Q81" s="15" t="str">
        <f aca="false">IF(P81="https://lmcmic.ca"&amp;B81,"Yes","No")</f>
        <v>Yes</v>
      </c>
      <c r="R81" s="15" t="s">
        <v>110</v>
      </c>
      <c r="S81" s="15" t="s">
        <v>204</v>
      </c>
      <c r="T81" s="15" t="n">
        <v>2827</v>
      </c>
      <c r="U81" s="15" t="n">
        <v>7</v>
      </c>
      <c r="V81" s="15" t="n">
        <v>8</v>
      </c>
      <c r="W81" s="15" t="s">
        <v>836</v>
      </c>
      <c r="X81" s="15"/>
      <c r="Y81" s="15"/>
      <c r="Z81" s="15" t="s">
        <v>113</v>
      </c>
      <c r="AA81" s="15" t="s">
        <v>113</v>
      </c>
      <c r="AB81" s="15" t="s">
        <v>137</v>
      </c>
      <c r="AC81" s="15" t="s">
        <v>115</v>
      </c>
      <c r="AD81" s="15" t="str">
        <f aca="false">HYPERLINK("https://lmcmic.ca"&amp;B81,"Open")</f>
        <v>Open</v>
      </c>
    </row>
    <row r="82" customFormat="false" ht="35.05" hidden="false" customHeight="false" outlineLevel="0" collapsed="false">
      <c r="A82" s="15" t="n">
        <v>81</v>
      </c>
      <c r="B82" s="15" t="s">
        <v>837</v>
      </c>
      <c r="C82" s="15" t="s">
        <v>184</v>
      </c>
      <c r="D82" s="15" t="s">
        <v>219</v>
      </c>
      <c r="E82" s="15" t="s">
        <v>127</v>
      </c>
      <c r="F82" s="15" t="s">
        <v>838</v>
      </c>
      <c r="G82" s="15" t="n">
        <f aca="false">LEN(F82)</f>
        <v>44</v>
      </c>
      <c r="H82" s="15" t="str">
        <f aca="false">IF(AND(G82&gt;=30,G82&lt;=65),"OK","Review")</f>
        <v>OK</v>
      </c>
      <c r="I82" s="15" t="s">
        <v>839</v>
      </c>
      <c r="J82" s="15" t="n">
        <f aca="false">LEN(I82)</f>
        <v>156</v>
      </c>
      <c r="K82" s="15" t="str">
        <f aca="false">IF(AND(J82&gt;=120,J82&lt;=160),"OK","Review")</f>
        <v>OK</v>
      </c>
      <c r="L82" s="15" t="s">
        <v>840</v>
      </c>
      <c r="M82" s="15" t="s">
        <v>841</v>
      </c>
      <c r="N82" s="15" t="s">
        <v>842</v>
      </c>
      <c r="O82" s="15" t="s">
        <v>843</v>
      </c>
      <c r="P82" s="15" t="s">
        <v>844</v>
      </c>
      <c r="Q82" s="15" t="str">
        <f aca="false">IF(P82="https://lmcmic.ca"&amp;B82,"Yes","No")</f>
        <v>Yes</v>
      </c>
      <c r="R82" s="15" t="s">
        <v>110</v>
      </c>
      <c r="S82" s="15" t="s">
        <v>204</v>
      </c>
      <c r="T82" s="15" t="n">
        <v>3671</v>
      </c>
      <c r="U82" s="15" t="n">
        <v>9</v>
      </c>
      <c r="V82" s="15" t="n">
        <v>12</v>
      </c>
      <c r="W82" s="15" t="s">
        <v>845</v>
      </c>
      <c r="X82" s="15"/>
      <c r="Y82" s="15"/>
      <c r="Z82" s="15" t="s">
        <v>113</v>
      </c>
      <c r="AA82" s="15" t="s">
        <v>113</v>
      </c>
      <c r="AB82" s="15" t="s">
        <v>137</v>
      </c>
      <c r="AC82" s="15" t="s">
        <v>115</v>
      </c>
      <c r="AD82" s="15" t="str">
        <f aca="false">HYPERLINK("https://lmcmic.ca"&amp;B82,"Open")</f>
        <v>Open</v>
      </c>
    </row>
    <row r="83" customFormat="false" ht="35.05" hidden="false" customHeight="false" outlineLevel="0" collapsed="false">
      <c r="A83" s="15" t="n">
        <v>82</v>
      </c>
      <c r="B83" s="15" t="s">
        <v>846</v>
      </c>
      <c r="C83" s="15" t="s">
        <v>184</v>
      </c>
      <c r="D83" s="15" t="s">
        <v>126</v>
      </c>
      <c r="E83" s="15" t="s">
        <v>127</v>
      </c>
      <c r="F83" s="15" t="s">
        <v>847</v>
      </c>
      <c r="G83" s="15" t="n">
        <f aca="false">LEN(F83)</f>
        <v>44</v>
      </c>
      <c r="H83" s="15" t="str">
        <f aca="false">IF(AND(G83&gt;=30,G83&lt;=65),"OK","Review")</f>
        <v>OK</v>
      </c>
      <c r="I83" s="15" t="s">
        <v>848</v>
      </c>
      <c r="J83" s="15" t="n">
        <f aca="false">LEN(I83)</f>
        <v>157</v>
      </c>
      <c r="K83" s="15" t="str">
        <f aca="false">IF(AND(J83&gt;=120,J83&lt;=160),"OK","Review")</f>
        <v>OK</v>
      </c>
      <c r="L83" s="15" t="s">
        <v>849</v>
      </c>
      <c r="M83" s="15" t="s">
        <v>850</v>
      </c>
      <c r="N83" s="15" t="s">
        <v>851</v>
      </c>
      <c r="O83" s="15" t="s">
        <v>852</v>
      </c>
      <c r="P83" s="15" t="s">
        <v>853</v>
      </c>
      <c r="Q83" s="15" t="str">
        <f aca="false">IF(P83="https://lmcmic.ca"&amp;B83,"Yes","No")</f>
        <v>Yes</v>
      </c>
      <c r="R83" s="15" t="s">
        <v>110</v>
      </c>
      <c r="S83" s="15" t="s">
        <v>204</v>
      </c>
      <c r="T83" s="15" t="n">
        <v>2403</v>
      </c>
      <c r="U83" s="15" t="n">
        <v>8</v>
      </c>
      <c r="V83" s="15" t="n">
        <v>3</v>
      </c>
      <c r="W83" s="15" t="s">
        <v>854</v>
      </c>
      <c r="X83" s="15"/>
      <c r="Y83" s="15"/>
      <c r="Z83" s="15" t="s">
        <v>113</v>
      </c>
      <c r="AA83" s="15" t="s">
        <v>113</v>
      </c>
      <c r="AB83" s="15" t="s">
        <v>137</v>
      </c>
      <c r="AC83" s="15" t="s">
        <v>115</v>
      </c>
      <c r="AD83" s="15" t="str">
        <f aca="false">HYPERLINK("https://lmcmic.ca"&amp;B83,"Open")</f>
        <v>Open</v>
      </c>
    </row>
    <row r="84" customFormat="false" ht="35.05" hidden="false" customHeight="false" outlineLevel="0" collapsed="false">
      <c r="A84" s="15" t="n">
        <v>83</v>
      </c>
      <c r="B84" s="15" t="s">
        <v>855</v>
      </c>
      <c r="C84" s="15" t="s">
        <v>218</v>
      </c>
      <c r="D84" s="15" t="s">
        <v>268</v>
      </c>
      <c r="E84" s="15" t="s">
        <v>248</v>
      </c>
      <c r="F84" s="15" t="s">
        <v>856</v>
      </c>
      <c r="G84" s="15" t="n">
        <f aca="false">LEN(F84)</f>
        <v>49</v>
      </c>
      <c r="H84" s="15" t="str">
        <f aca="false">IF(AND(G84&gt;=30,G84&lt;=65),"OK","Review")</f>
        <v>OK</v>
      </c>
      <c r="I84" s="15" t="s">
        <v>857</v>
      </c>
      <c r="J84" s="15" t="n">
        <f aca="false">LEN(I84)</f>
        <v>153</v>
      </c>
      <c r="K84" s="15" t="str">
        <f aca="false">IF(AND(J84&gt;=120,J84&lt;=160),"OK","Review")</f>
        <v>OK</v>
      </c>
      <c r="L84" s="15" t="s">
        <v>858</v>
      </c>
      <c r="M84" s="15" t="s">
        <v>859</v>
      </c>
      <c r="N84" s="15" t="s">
        <v>860</v>
      </c>
      <c r="O84" s="15" t="s">
        <v>861</v>
      </c>
      <c r="P84" s="15" t="s">
        <v>862</v>
      </c>
      <c r="Q84" s="15" t="str">
        <f aca="false">IF(P84="https://lmcmic.ca"&amp;B84,"Yes","No")</f>
        <v>Yes</v>
      </c>
      <c r="R84" s="15" t="s">
        <v>110</v>
      </c>
      <c r="S84" s="15" t="s">
        <v>204</v>
      </c>
      <c r="T84" s="15" t="n">
        <v>2543</v>
      </c>
      <c r="U84" s="15" t="n">
        <v>8</v>
      </c>
      <c r="V84" s="15" t="n">
        <v>7</v>
      </c>
      <c r="W84" s="15" t="s">
        <v>863</v>
      </c>
      <c r="X84" s="15"/>
      <c r="Y84" s="15"/>
      <c r="Z84" s="15" t="s">
        <v>113</v>
      </c>
      <c r="AA84" s="15" t="s">
        <v>113</v>
      </c>
      <c r="AB84" s="15" t="s">
        <v>137</v>
      </c>
      <c r="AC84" s="15" t="s">
        <v>115</v>
      </c>
      <c r="AD84" s="15" t="str">
        <f aca="false">HYPERLINK("https://lmcmic.ca"&amp;B84,"Open")</f>
        <v>Open</v>
      </c>
    </row>
    <row r="85" customFormat="false" ht="35.05" hidden="false" customHeight="false" outlineLevel="0" collapsed="false">
      <c r="A85" s="15" t="n">
        <v>84</v>
      </c>
      <c r="B85" s="15" t="s">
        <v>864</v>
      </c>
      <c r="C85" s="15" t="s">
        <v>184</v>
      </c>
      <c r="D85" s="15" t="s">
        <v>247</v>
      </c>
      <c r="E85" s="15" t="s">
        <v>248</v>
      </c>
      <c r="F85" s="15" t="s">
        <v>865</v>
      </c>
      <c r="G85" s="15" t="n">
        <f aca="false">LEN(F85)</f>
        <v>62</v>
      </c>
      <c r="H85" s="15" t="str">
        <f aca="false">IF(AND(G85&gt;=30,G85&lt;=65),"OK","Review")</f>
        <v>OK</v>
      </c>
      <c r="I85" s="15" t="s">
        <v>866</v>
      </c>
      <c r="J85" s="15" t="n">
        <f aca="false">LEN(I85)</f>
        <v>158</v>
      </c>
      <c r="K85" s="15" t="str">
        <f aca="false">IF(AND(J85&gt;=120,J85&lt;=160),"OK","Review")</f>
        <v>OK</v>
      </c>
      <c r="L85" s="15" t="s">
        <v>867</v>
      </c>
      <c r="M85" s="15" t="s">
        <v>868</v>
      </c>
      <c r="N85" s="15" t="s">
        <v>869</v>
      </c>
      <c r="O85" s="15" t="s">
        <v>870</v>
      </c>
      <c r="P85" s="15" t="s">
        <v>871</v>
      </c>
      <c r="Q85" s="15" t="str">
        <f aca="false">IF(P85="https://lmcmic.ca"&amp;B85,"Yes","No")</f>
        <v>Yes</v>
      </c>
      <c r="R85" s="15" t="s">
        <v>110</v>
      </c>
      <c r="S85" s="15" t="s">
        <v>204</v>
      </c>
      <c r="T85" s="15" t="n">
        <v>2596</v>
      </c>
      <c r="U85" s="15" t="n">
        <v>7</v>
      </c>
      <c r="V85" s="15" t="n">
        <v>2</v>
      </c>
      <c r="W85" s="15" t="s">
        <v>872</v>
      </c>
      <c r="X85" s="15"/>
      <c r="Y85" s="15"/>
      <c r="Z85" s="15" t="s">
        <v>113</v>
      </c>
      <c r="AA85" s="15" t="s">
        <v>113</v>
      </c>
      <c r="AB85" s="15" t="s">
        <v>137</v>
      </c>
      <c r="AC85" s="15" t="s">
        <v>115</v>
      </c>
      <c r="AD85" s="15" t="str">
        <f aca="false">HYPERLINK("https://lmcmic.ca"&amp;B85,"Open")</f>
        <v>Open</v>
      </c>
    </row>
    <row r="86" customFormat="false" ht="35.05" hidden="false" customHeight="false" outlineLevel="0" collapsed="false">
      <c r="A86" s="15" t="n">
        <v>85</v>
      </c>
      <c r="B86" s="15" t="s">
        <v>873</v>
      </c>
      <c r="C86" s="15" t="s">
        <v>350</v>
      </c>
      <c r="D86" s="15" t="s">
        <v>208</v>
      </c>
      <c r="E86" s="15" t="s">
        <v>248</v>
      </c>
      <c r="F86" s="15" t="s">
        <v>874</v>
      </c>
      <c r="G86" s="15" t="n">
        <f aca="false">LEN(F86)</f>
        <v>44</v>
      </c>
      <c r="H86" s="15" t="str">
        <f aca="false">IF(AND(G86&gt;=30,G86&lt;=65),"OK","Review")</f>
        <v>OK</v>
      </c>
      <c r="I86" s="15" t="s">
        <v>875</v>
      </c>
      <c r="J86" s="15" t="n">
        <f aca="false">LEN(I86)</f>
        <v>158</v>
      </c>
      <c r="K86" s="15" t="str">
        <f aca="false">IF(AND(J86&gt;=120,J86&lt;=160),"OK","Review")</f>
        <v>OK</v>
      </c>
      <c r="L86" s="15" t="s">
        <v>874</v>
      </c>
      <c r="M86" s="15" t="s">
        <v>876</v>
      </c>
      <c r="N86" s="15" t="s">
        <v>877</v>
      </c>
      <c r="O86" s="15" t="s">
        <v>878</v>
      </c>
      <c r="P86" s="15" t="s">
        <v>879</v>
      </c>
      <c r="Q86" s="15" t="str">
        <f aca="false">IF(P86="https://lmcmic.ca"&amp;B86,"Yes","No")</f>
        <v>Yes</v>
      </c>
      <c r="R86" s="15" t="s">
        <v>110</v>
      </c>
      <c r="S86" s="15" t="s">
        <v>204</v>
      </c>
      <c r="T86" s="15" t="n">
        <v>2956</v>
      </c>
      <c r="U86" s="15" t="n">
        <v>7</v>
      </c>
      <c r="V86" s="15" t="n">
        <v>3</v>
      </c>
      <c r="W86" s="15" t="s">
        <v>880</v>
      </c>
      <c r="X86" s="15"/>
      <c r="Y86" s="15"/>
      <c r="Z86" s="15" t="s">
        <v>113</v>
      </c>
      <c r="AA86" s="15" t="s">
        <v>113</v>
      </c>
      <c r="AB86" s="15" t="s">
        <v>137</v>
      </c>
      <c r="AC86" s="15" t="s">
        <v>115</v>
      </c>
      <c r="AD86" s="15" t="str">
        <f aca="false">HYPERLINK("https://lmcmic.ca"&amp;B86,"Open")</f>
        <v>Open</v>
      </c>
    </row>
    <row r="87" customFormat="false" ht="35.05" hidden="false" customHeight="false" outlineLevel="0" collapsed="false">
      <c r="A87" s="15" t="n">
        <v>86</v>
      </c>
      <c r="B87" s="15" t="s">
        <v>881</v>
      </c>
      <c r="C87" s="15" t="s">
        <v>207</v>
      </c>
      <c r="D87" s="15" t="s">
        <v>196</v>
      </c>
      <c r="E87" s="15" t="s">
        <v>127</v>
      </c>
      <c r="F87" s="15" t="s">
        <v>882</v>
      </c>
      <c r="G87" s="15" t="n">
        <f aca="false">LEN(F87)</f>
        <v>53</v>
      </c>
      <c r="H87" s="15" t="str">
        <f aca="false">IF(AND(G87&gt;=30,G87&lt;=65),"OK","Review")</f>
        <v>OK</v>
      </c>
      <c r="I87" s="15" t="s">
        <v>883</v>
      </c>
      <c r="J87" s="15" t="n">
        <f aca="false">LEN(I87)</f>
        <v>151</v>
      </c>
      <c r="K87" s="15" t="str">
        <f aca="false">IF(AND(J87&gt;=120,J87&lt;=160),"OK","Review")</f>
        <v>OK</v>
      </c>
      <c r="L87" s="15" t="s">
        <v>884</v>
      </c>
      <c r="M87" s="15" t="s">
        <v>885</v>
      </c>
      <c r="N87" s="15" t="s">
        <v>886</v>
      </c>
      <c r="O87" s="15" t="s">
        <v>887</v>
      </c>
      <c r="P87" s="15" t="s">
        <v>888</v>
      </c>
      <c r="Q87" s="15" t="str">
        <f aca="false">IF(P87="https://lmcmic.ca"&amp;B87,"Yes","No")</f>
        <v>Yes</v>
      </c>
      <c r="R87" s="15" t="s">
        <v>110</v>
      </c>
      <c r="S87" s="15" t="s">
        <v>204</v>
      </c>
      <c r="T87" s="15" t="n">
        <v>3217</v>
      </c>
      <c r="U87" s="15" t="n">
        <v>8</v>
      </c>
      <c r="V87" s="15" t="n">
        <v>17</v>
      </c>
      <c r="W87" s="15" t="s">
        <v>889</v>
      </c>
      <c r="X87" s="15"/>
      <c r="Y87" s="15"/>
      <c r="Z87" s="15" t="s">
        <v>113</v>
      </c>
      <c r="AA87" s="15" t="s">
        <v>113</v>
      </c>
      <c r="AB87" s="15" t="s">
        <v>137</v>
      </c>
      <c r="AC87" s="15" t="s">
        <v>115</v>
      </c>
      <c r="AD87" s="15" t="str">
        <f aca="false">HYPERLINK("https://lmcmic.ca"&amp;B87,"Open")</f>
        <v>Open</v>
      </c>
    </row>
    <row r="88" customFormat="false" ht="35.05" hidden="false" customHeight="false" outlineLevel="0" collapsed="false">
      <c r="A88" s="15" t="n">
        <v>87</v>
      </c>
      <c r="B88" s="15" t="s">
        <v>890</v>
      </c>
      <c r="C88" s="15" t="s">
        <v>184</v>
      </c>
      <c r="D88" s="15" t="s">
        <v>247</v>
      </c>
      <c r="E88" s="15" t="s">
        <v>127</v>
      </c>
      <c r="F88" s="15" t="s">
        <v>891</v>
      </c>
      <c r="G88" s="15" t="n">
        <f aca="false">LEN(F88)</f>
        <v>65</v>
      </c>
      <c r="H88" s="15" t="str">
        <f aca="false">IF(AND(G88&gt;=30,G88&lt;=65),"OK","Review")</f>
        <v>OK</v>
      </c>
      <c r="I88" s="15" t="s">
        <v>892</v>
      </c>
      <c r="J88" s="15" t="n">
        <f aca="false">LEN(I88)</f>
        <v>150</v>
      </c>
      <c r="K88" s="15" t="str">
        <f aca="false">IF(AND(J88&gt;=120,J88&lt;=160),"OK","Review")</f>
        <v>OK</v>
      </c>
      <c r="L88" s="15" t="s">
        <v>893</v>
      </c>
      <c r="M88" s="15" t="s">
        <v>894</v>
      </c>
      <c r="N88" s="15" t="s">
        <v>895</v>
      </c>
      <c r="O88" s="15" t="s">
        <v>896</v>
      </c>
      <c r="P88" s="15" t="s">
        <v>897</v>
      </c>
      <c r="Q88" s="15" t="str">
        <f aca="false">IF(P88="https://lmcmic.ca"&amp;B88,"Yes","No")</f>
        <v>Yes</v>
      </c>
      <c r="R88" s="15" t="s">
        <v>110</v>
      </c>
      <c r="S88" s="15" t="s">
        <v>204</v>
      </c>
      <c r="T88" s="15" t="n">
        <v>2904</v>
      </c>
      <c r="U88" s="15" t="n">
        <v>7</v>
      </c>
      <c r="V88" s="15" t="n">
        <v>5</v>
      </c>
      <c r="W88" s="15" t="s">
        <v>898</v>
      </c>
      <c r="X88" s="15"/>
      <c r="Y88" s="15"/>
      <c r="Z88" s="15" t="s">
        <v>113</v>
      </c>
      <c r="AA88" s="15" t="s">
        <v>113</v>
      </c>
      <c r="AB88" s="15" t="s">
        <v>137</v>
      </c>
      <c r="AC88" s="15" t="s">
        <v>115</v>
      </c>
      <c r="AD88" s="15" t="str">
        <f aca="false">HYPERLINK("https://lmcmic.ca"&amp;B88,"Open")</f>
        <v>Open</v>
      </c>
    </row>
    <row r="89" customFormat="false" ht="35.05" hidden="false" customHeight="false" outlineLevel="0" collapsed="false">
      <c r="A89" s="15" t="n">
        <v>88</v>
      </c>
      <c r="B89" s="15" t="s">
        <v>899</v>
      </c>
      <c r="C89" s="15" t="s">
        <v>184</v>
      </c>
      <c r="D89" s="15" t="s">
        <v>126</v>
      </c>
      <c r="E89" s="15" t="s">
        <v>248</v>
      </c>
      <c r="F89" s="15" t="s">
        <v>900</v>
      </c>
      <c r="G89" s="15" t="n">
        <f aca="false">LEN(F89)</f>
        <v>51</v>
      </c>
      <c r="H89" s="15" t="str">
        <f aca="false">IF(AND(G89&gt;=30,G89&lt;=65),"OK","Review")</f>
        <v>OK</v>
      </c>
      <c r="I89" s="15" t="s">
        <v>901</v>
      </c>
      <c r="J89" s="15" t="n">
        <f aca="false">LEN(I89)</f>
        <v>153</v>
      </c>
      <c r="K89" s="15" t="str">
        <f aca="false">IF(AND(J89&gt;=120,J89&lt;=160),"OK","Review")</f>
        <v>OK</v>
      </c>
      <c r="L89" s="15" t="s">
        <v>902</v>
      </c>
      <c r="M89" s="15" t="s">
        <v>903</v>
      </c>
      <c r="N89" s="15" t="s">
        <v>904</v>
      </c>
      <c r="O89" s="15" t="s">
        <v>905</v>
      </c>
      <c r="P89" s="15" t="s">
        <v>906</v>
      </c>
      <c r="Q89" s="15" t="str">
        <f aca="false">IF(P89="https://lmcmic.ca"&amp;B89,"Yes","No")</f>
        <v>Yes</v>
      </c>
      <c r="R89" s="15" t="s">
        <v>110</v>
      </c>
      <c r="S89" s="15" t="s">
        <v>204</v>
      </c>
      <c r="T89" s="15" t="n">
        <v>2175</v>
      </c>
      <c r="U89" s="15" t="n">
        <v>6</v>
      </c>
      <c r="V89" s="15" t="n">
        <v>2</v>
      </c>
      <c r="W89" s="15" t="s">
        <v>907</v>
      </c>
      <c r="X89" s="15"/>
      <c r="Y89" s="15"/>
      <c r="Z89" s="15" t="s">
        <v>113</v>
      </c>
      <c r="AA89" s="15" t="s">
        <v>113</v>
      </c>
      <c r="AB89" s="15" t="s">
        <v>137</v>
      </c>
      <c r="AC89" s="15" t="s">
        <v>115</v>
      </c>
      <c r="AD89" s="15" t="str">
        <f aca="false">HYPERLINK("https://lmcmic.ca"&amp;B89,"Open")</f>
        <v>Open</v>
      </c>
    </row>
    <row r="90" customFormat="false" ht="35.05" hidden="false" customHeight="false" outlineLevel="0" collapsed="false">
      <c r="A90" s="15" t="n">
        <v>89</v>
      </c>
      <c r="B90" s="15" t="s">
        <v>908</v>
      </c>
      <c r="C90" s="15" t="s">
        <v>184</v>
      </c>
      <c r="D90" s="15" t="s">
        <v>196</v>
      </c>
      <c r="E90" s="15" t="s">
        <v>248</v>
      </c>
      <c r="F90" s="15" t="s">
        <v>909</v>
      </c>
      <c r="G90" s="15" t="n">
        <f aca="false">LEN(F90)</f>
        <v>46</v>
      </c>
      <c r="H90" s="15" t="str">
        <f aca="false">IF(AND(G90&gt;=30,G90&lt;=65),"OK","Review")</f>
        <v>OK</v>
      </c>
      <c r="I90" s="15" t="s">
        <v>910</v>
      </c>
      <c r="J90" s="15" t="n">
        <f aca="false">LEN(I90)</f>
        <v>157</v>
      </c>
      <c r="K90" s="15" t="str">
        <f aca="false">IF(AND(J90&gt;=120,J90&lt;=160),"OK","Review")</f>
        <v>OK</v>
      </c>
      <c r="L90" s="15" t="s">
        <v>911</v>
      </c>
      <c r="M90" s="15" t="s">
        <v>912</v>
      </c>
      <c r="N90" s="15" t="s">
        <v>913</v>
      </c>
      <c r="O90" s="15" t="s">
        <v>914</v>
      </c>
      <c r="P90" s="15" t="s">
        <v>915</v>
      </c>
      <c r="Q90" s="15" t="str">
        <f aca="false">IF(P90="https://lmcmic.ca"&amp;B90,"Yes","No")</f>
        <v>Yes</v>
      </c>
      <c r="R90" s="15" t="s">
        <v>110</v>
      </c>
      <c r="S90" s="15" t="s">
        <v>204</v>
      </c>
      <c r="T90" s="15" t="n">
        <v>2996</v>
      </c>
      <c r="U90" s="15" t="n">
        <v>9</v>
      </c>
      <c r="V90" s="15" t="n">
        <v>12</v>
      </c>
      <c r="W90" s="15" t="s">
        <v>916</v>
      </c>
      <c r="X90" s="15"/>
      <c r="Y90" s="15"/>
      <c r="Z90" s="15" t="s">
        <v>113</v>
      </c>
      <c r="AA90" s="15" t="s">
        <v>113</v>
      </c>
      <c r="AB90" s="15" t="s">
        <v>137</v>
      </c>
      <c r="AC90" s="15" t="s">
        <v>115</v>
      </c>
      <c r="AD90" s="15" t="str">
        <f aca="false">HYPERLINK("https://lmcmic.ca"&amp;B90,"Open")</f>
        <v>Open</v>
      </c>
    </row>
    <row r="91" customFormat="false" ht="35.05" hidden="false" customHeight="false" outlineLevel="0" collapsed="false">
      <c r="A91" s="15" t="n">
        <v>90</v>
      </c>
      <c r="B91" s="15" t="s">
        <v>917</v>
      </c>
      <c r="C91" s="15" t="s">
        <v>432</v>
      </c>
      <c r="D91" s="15" t="s">
        <v>219</v>
      </c>
      <c r="E91" s="15" t="s">
        <v>248</v>
      </c>
      <c r="F91" s="15" t="s">
        <v>918</v>
      </c>
      <c r="G91" s="15" t="n">
        <f aca="false">LEN(F91)</f>
        <v>53</v>
      </c>
      <c r="H91" s="15" t="str">
        <f aca="false">IF(AND(G91&gt;=30,G91&lt;=65),"OK","Review")</f>
        <v>OK</v>
      </c>
      <c r="I91" s="15" t="s">
        <v>919</v>
      </c>
      <c r="J91" s="15" t="n">
        <f aca="false">LEN(I91)</f>
        <v>157</v>
      </c>
      <c r="K91" s="15" t="str">
        <f aca="false">IF(AND(J91&gt;=120,J91&lt;=160),"OK","Review")</f>
        <v>OK</v>
      </c>
      <c r="L91" s="15" t="s">
        <v>920</v>
      </c>
      <c r="M91" s="15" t="s">
        <v>921</v>
      </c>
      <c r="N91" s="15" t="s">
        <v>922</v>
      </c>
      <c r="O91" s="15" t="s">
        <v>923</v>
      </c>
      <c r="P91" s="15" t="s">
        <v>924</v>
      </c>
      <c r="Q91" s="15" t="str">
        <f aca="false">IF(P91="https://lmcmic.ca"&amp;B91,"Yes","No")</f>
        <v>Yes</v>
      </c>
      <c r="R91" s="15" t="s">
        <v>110</v>
      </c>
      <c r="S91" s="15" t="s">
        <v>204</v>
      </c>
      <c r="T91" s="15" t="n">
        <v>2789</v>
      </c>
      <c r="U91" s="15" t="n">
        <v>7</v>
      </c>
      <c r="V91" s="15" t="n">
        <v>4</v>
      </c>
      <c r="W91" s="15" t="s">
        <v>925</v>
      </c>
      <c r="X91" s="15"/>
      <c r="Y91" s="15"/>
      <c r="Z91" s="15" t="s">
        <v>113</v>
      </c>
      <c r="AA91" s="15" t="s">
        <v>113</v>
      </c>
      <c r="AB91" s="15" t="s">
        <v>137</v>
      </c>
      <c r="AC91" s="15" t="s">
        <v>115</v>
      </c>
      <c r="AD91" s="15" t="str">
        <f aca="false">HYPERLINK("https://lmcmic.ca"&amp;B91,"Open")</f>
        <v>Open</v>
      </c>
    </row>
    <row r="92" customFormat="false" ht="35.05" hidden="false" customHeight="false" outlineLevel="0" collapsed="false">
      <c r="A92" s="15" t="n">
        <v>91</v>
      </c>
      <c r="B92" s="15" t="s">
        <v>926</v>
      </c>
      <c r="C92" s="15" t="s">
        <v>207</v>
      </c>
      <c r="D92" s="15" t="s">
        <v>247</v>
      </c>
      <c r="E92" s="15" t="s">
        <v>127</v>
      </c>
      <c r="F92" s="15" t="s">
        <v>927</v>
      </c>
      <c r="G92" s="15" t="n">
        <f aca="false">LEN(F92)</f>
        <v>48</v>
      </c>
      <c r="H92" s="15" t="str">
        <f aca="false">IF(AND(G92&gt;=30,G92&lt;=65),"OK","Review")</f>
        <v>OK</v>
      </c>
      <c r="I92" s="15" t="s">
        <v>928</v>
      </c>
      <c r="J92" s="15" t="n">
        <f aca="false">LEN(I92)</f>
        <v>157</v>
      </c>
      <c r="K92" s="15" t="str">
        <f aca="false">IF(AND(J92&gt;=120,J92&lt;=160),"OK","Review")</f>
        <v>OK</v>
      </c>
      <c r="L92" s="15" t="s">
        <v>927</v>
      </c>
      <c r="M92" s="15" t="s">
        <v>929</v>
      </c>
      <c r="N92" s="15" t="s">
        <v>930</v>
      </c>
      <c r="O92" s="15" t="s">
        <v>931</v>
      </c>
      <c r="P92" s="15" t="s">
        <v>932</v>
      </c>
      <c r="Q92" s="15" t="str">
        <f aca="false">IF(P92="https://lmcmic.ca"&amp;B92,"Yes","No")</f>
        <v>Yes</v>
      </c>
      <c r="R92" s="15" t="s">
        <v>110</v>
      </c>
      <c r="S92" s="15" t="s">
        <v>204</v>
      </c>
      <c r="T92" s="15" t="n">
        <v>3317</v>
      </c>
      <c r="U92" s="15" t="n">
        <v>8</v>
      </c>
      <c r="V92" s="15" t="n">
        <v>15</v>
      </c>
      <c r="W92" s="15" t="s">
        <v>933</v>
      </c>
      <c r="X92" s="15"/>
      <c r="Y92" s="15"/>
      <c r="Z92" s="15" t="s">
        <v>113</v>
      </c>
      <c r="AA92" s="15" t="s">
        <v>113</v>
      </c>
      <c r="AB92" s="15" t="s">
        <v>137</v>
      </c>
      <c r="AC92" s="15" t="s">
        <v>115</v>
      </c>
      <c r="AD92" s="15" t="str">
        <f aca="false">HYPERLINK("https://lmcmic.ca"&amp;B92,"Open")</f>
        <v>Open</v>
      </c>
    </row>
    <row r="93" customFormat="false" ht="35.05" hidden="false" customHeight="false" outlineLevel="0" collapsed="false">
      <c r="A93" s="15" t="n">
        <v>92</v>
      </c>
      <c r="B93" s="15" t="s">
        <v>934</v>
      </c>
      <c r="C93" s="15" t="s">
        <v>207</v>
      </c>
      <c r="D93" s="15" t="s">
        <v>185</v>
      </c>
      <c r="E93" s="15" t="s">
        <v>127</v>
      </c>
      <c r="F93" s="15" t="s">
        <v>935</v>
      </c>
      <c r="G93" s="15" t="n">
        <f aca="false">LEN(F93)</f>
        <v>59</v>
      </c>
      <c r="H93" s="15" t="str">
        <f aca="false">IF(AND(G93&gt;=30,G93&lt;=65),"OK","Review")</f>
        <v>OK</v>
      </c>
      <c r="I93" s="15" t="s">
        <v>936</v>
      </c>
      <c r="J93" s="15" t="n">
        <f aca="false">LEN(I93)</f>
        <v>155</v>
      </c>
      <c r="K93" s="15" t="str">
        <f aca="false">IF(AND(J93&gt;=120,J93&lt;=160),"OK","Review")</f>
        <v>OK</v>
      </c>
      <c r="L93" s="15" t="s">
        <v>937</v>
      </c>
      <c r="M93" s="15" t="s">
        <v>938</v>
      </c>
      <c r="N93" s="15" t="s">
        <v>939</v>
      </c>
      <c r="O93" s="15" t="s">
        <v>940</v>
      </c>
      <c r="P93" s="15" t="s">
        <v>941</v>
      </c>
      <c r="Q93" s="15" t="str">
        <f aca="false">IF(P93="https://lmcmic.ca"&amp;B93,"Yes","No")</f>
        <v>Yes</v>
      </c>
      <c r="R93" s="15" t="s">
        <v>110</v>
      </c>
      <c r="S93" s="15" t="s">
        <v>204</v>
      </c>
      <c r="T93" s="15" t="n">
        <v>3448</v>
      </c>
      <c r="U93" s="15" t="n">
        <v>8</v>
      </c>
      <c r="V93" s="15" t="n">
        <v>9</v>
      </c>
      <c r="W93" s="15" t="s">
        <v>942</v>
      </c>
      <c r="X93" s="15"/>
      <c r="Y93" s="15"/>
      <c r="Z93" s="15" t="s">
        <v>113</v>
      </c>
      <c r="AA93" s="15" t="s">
        <v>113</v>
      </c>
      <c r="AB93" s="15" t="s">
        <v>137</v>
      </c>
      <c r="AC93" s="15" t="s">
        <v>115</v>
      </c>
      <c r="AD93" s="15" t="str">
        <f aca="false">HYPERLINK("https://lmcmic.ca"&amp;B93,"Open")</f>
        <v>Open</v>
      </c>
    </row>
    <row r="94" customFormat="false" ht="35.05" hidden="false" customHeight="false" outlineLevel="0" collapsed="false">
      <c r="A94" s="15" t="n">
        <v>93</v>
      </c>
      <c r="B94" s="15" t="s">
        <v>943</v>
      </c>
      <c r="C94" s="15" t="s">
        <v>184</v>
      </c>
      <c r="D94" s="15" t="s">
        <v>126</v>
      </c>
      <c r="E94" s="15" t="s">
        <v>248</v>
      </c>
      <c r="F94" s="15" t="s">
        <v>944</v>
      </c>
      <c r="G94" s="15" t="n">
        <f aca="false">LEN(F94)</f>
        <v>58</v>
      </c>
      <c r="H94" s="15" t="str">
        <f aca="false">IF(AND(G94&gt;=30,G94&lt;=65),"OK","Review")</f>
        <v>OK</v>
      </c>
      <c r="I94" s="15" t="s">
        <v>945</v>
      </c>
      <c r="J94" s="15" t="n">
        <f aca="false">LEN(I94)</f>
        <v>157</v>
      </c>
      <c r="K94" s="15" t="str">
        <f aca="false">IF(AND(J94&gt;=120,J94&lt;=160),"OK","Review")</f>
        <v>OK</v>
      </c>
      <c r="L94" s="15" t="s">
        <v>946</v>
      </c>
      <c r="M94" s="15" t="s">
        <v>947</v>
      </c>
      <c r="N94" s="15" t="s">
        <v>948</v>
      </c>
      <c r="O94" s="15" t="s">
        <v>949</v>
      </c>
      <c r="P94" s="15" t="s">
        <v>950</v>
      </c>
      <c r="Q94" s="15" t="str">
        <f aca="false">IF(P94="https://lmcmic.ca"&amp;B94,"Yes","No")</f>
        <v>Yes</v>
      </c>
      <c r="R94" s="15" t="s">
        <v>110</v>
      </c>
      <c r="S94" s="15" t="s">
        <v>204</v>
      </c>
      <c r="T94" s="15" t="n">
        <v>2513</v>
      </c>
      <c r="U94" s="15" t="n">
        <v>7</v>
      </c>
      <c r="V94" s="15" t="n">
        <v>3</v>
      </c>
      <c r="W94" s="15" t="s">
        <v>951</v>
      </c>
      <c r="X94" s="15"/>
      <c r="Y94" s="15"/>
      <c r="Z94" s="15" t="s">
        <v>113</v>
      </c>
      <c r="AA94" s="15" t="s">
        <v>113</v>
      </c>
      <c r="AB94" s="15" t="s">
        <v>137</v>
      </c>
      <c r="AC94" s="15" t="s">
        <v>115</v>
      </c>
      <c r="AD94" s="15" t="str">
        <f aca="false">HYPERLINK("https://lmcmic.ca"&amp;B94,"Open")</f>
        <v>Open</v>
      </c>
    </row>
    <row r="95" customFormat="false" ht="35.05" hidden="false" customHeight="false" outlineLevel="0" collapsed="false">
      <c r="A95" s="15" t="n">
        <v>94</v>
      </c>
      <c r="B95" s="15" t="s">
        <v>952</v>
      </c>
      <c r="C95" s="15" t="s">
        <v>184</v>
      </c>
      <c r="D95" s="15" t="s">
        <v>126</v>
      </c>
      <c r="E95" s="15" t="s">
        <v>127</v>
      </c>
      <c r="F95" s="15" t="s">
        <v>953</v>
      </c>
      <c r="G95" s="15" t="n">
        <f aca="false">LEN(F95)</f>
        <v>50</v>
      </c>
      <c r="H95" s="15" t="str">
        <f aca="false">IF(AND(G95&gt;=30,G95&lt;=65),"OK","Review")</f>
        <v>OK</v>
      </c>
      <c r="I95" s="15" t="s">
        <v>954</v>
      </c>
      <c r="J95" s="15" t="n">
        <f aca="false">LEN(I95)</f>
        <v>155</v>
      </c>
      <c r="K95" s="15" t="str">
        <f aca="false">IF(AND(J95&gt;=120,J95&lt;=160),"OK","Review")</f>
        <v>OK</v>
      </c>
      <c r="L95" s="15" t="s">
        <v>955</v>
      </c>
      <c r="M95" s="15" t="s">
        <v>956</v>
      </c>
      <c r="N95" s="15" t="s">
        <v>957</v>
      </c>
      <c r="O95" s="15" t="s">
        <v>958</v>
      </c>
      <c r="P95" s="15" t="s">
        <v>959</v>
      </c>
      <c r="Q95" s="15" t="str">
        <f aca="false">IF(P95="https://lmcmic.ca"&amp;B95,"Yes","No")</f>
        <v>Yes</v>
      </c>
      <c r="R95" s="15" t="s">
        <v>110</v>
      </c>
      <c r="S95" s="15" t="s">
        <v>204</v>
      </c>
      <c r="T95" s="15" t="n">
        <v>2727</v>
      </c>
      <c r="U95" s="15" t="n">
        <v>9</v>
      </c>
      <c r="V95" s="15" t="n">
        <v>3</v>
      </c>
      <c r="W95" s="15" t="s">
        <v>960</v>
      </c>
      <c r="X95" s="15"/>
      <c r="Y95" s="15"/>
      <c r="Z95" s="15" t="s">
        <v>113</v>
      </c>
      <c r="AA95" s="15" t="s">
        <v>113</v>
      </c>
      <c r="AB95" s="15" t="s">
        <v>137</v>
      </c>
      <c r="AC95" s="15" t="s">
        <v>115</v>
      </c>
      <c r="AD95" s="15" t="str">
        <f aca="false">HYPERLINK("https://lmcmic.ca"&amp;B95,"Open")</f>
        <v>Open</v>
      </c>
    </row>
    <row r="96" customFormat="false" ht="35.05" hidden="false" customHeight="false" outlineLevel="0" collapsed="false">
      <c r="A96" s="15" t="n">
        <v>95</v>
      </c>
      <c r="B96" s="15" t="s">
        <v>961</v>
      </c>
      <c r="C96" s="15" t="s">
        <v>165</v>
      </c>
      <c r="D96" s="15" t="s">
        <v>165</v>
      </c>
      <c r="E96" s="15" t="s">
        <v>157</v>
      </c>
      <c r="F96" s="15" t="s">
        <v>962</v>
      </c>
      <c r="G96" s="15" t="n">
        <f aca="false">LEN(F96)</f>
        <v>36</v>
      </c>
      <c r="H96" s="15" t="str">
        <f aca="false">IF(AND(G96&gt;=30,G96&lt;=65),"OK","Review")</f>
        <v>OK</v>
      </c>
      <c r="I96" s="15" t="s">
        <v>963</v>
      </c>
      <c r="J96" s="15" t="n">
        <f aca="false">LEN(I96)</f>
        <v>151</v>
      </c>
      <c r="K96" s="15" t="str">
        <f aca="false">IF(AND(J96&gt;=120,J96&lt;=160),"OK","Review")</f>
        <v>OK</v>
      </c>
      <c r="L96" s="15" t="s">
        <v>964</v>
      </c>
      <c r="M96" s="15"/>
      <c r="N96" s="15"/>
      <c r="O96" s="15"/>
      <c r="P96" s="15" t="s">
        <v>965</v>
      </c>
      <c r="Q96" s="15" t="str">
        <f aca="false">IF(P96="https://lmcmic.ca"&amp;B96,"Yes","No")</f>
        <v>Yes</v>
      </c>
      <c r="R96" s="15" t="s">
        <v>110</v>
      </c>
      <c r="S96" s="15" t="s">
        <v>170</v>
      </c>
      <c r="T96" s="15" t="n">
        <v>438</v>
      </c>
      <c r="U96" s="15" t="n">
        <v>0</v>
      </c>
      <c r="V96" s="15" t="n">
        <v>2</v>
      </c>
      <c r="W96" s="15" t="s">
        <v>966</v>
      </c>
      <c r="X96" s="15"/>
      <c r="Y96" s="15"/>
      <c r="Z96" s="15" t="s">
        <v>113</v>
      </c>
      <c r="AA96" s="15" t="s">
        <v>113</v>
      </c>
      <c r="AB96" s="15" t="s">
        <v>114</v>
      </c>
      <c r="AC96" s="15" t="s">
        <v>115</v>
      </c>
      <c r="AD96" s="15" t="str">
        <f aca="false">HYPERLINK("https://lmcmic.ca"&amp;B96,"Open")</f>
        <v>Open</v>
      </c>
    </row>
    <row r="97" customFormat="false" ht="35.05" hidden="false" customHeight="false" outlineLevel="0" collapsed="false">
      <c r="A97" s="15" t="n">
        <v>96</v>
      </c>
      <c r="B97" s="15" t="s">
        <v>967</v>
      </c>
      <c r="C97" s="15" t="s">
        <v>968</v>
      </c>
      <c r="D97" s="15" t="s">
        <v>268</v>
      </c>
      <c r="E97" s="15" t="s">
        <v>127</v>
      </c>
      <c r="F97" s="15" t="s">
        <v>969</v>
      </c>
      <c r="G97" s="15" t="n">
        <f aca="false">LEN(F97)</f>
        <v>51</v>
      </c>
      <c r="H97" s="15" t="str">
        <f aca="false">IF(AND(G97&gt;=30,G97&lt;=65),"OK","Review")</f>
        <v>OK</v>
      </c>
      <c r="I97" s="15" t="s">
        <v>970</v>
      </c>
      <c r="J97" s="15" t="n">
        <f aca="false">LEN(I97)</f>
        <v>151</v>
      </c>
      <c r="K97" s="15" t="str">
        <f aca="false">IF(AND(J97&gt;=120,J97&lt;=160),"OK","Review")</f>
        <v>OK</v>
      </c>
      <c r="L97" s="15" t="s">
        <v>971</v>
      </c>
      <c r="M97" s="15" t="s">
        <v>972</v>
      </c>
      <c r="N97" s="15" t="s">
        <v>973</v>
      </c>
      <c r="O97" s="15" t="s">
        <v>383</v>
      </c>
      <c r="P97" s="15" t="s">
        <v>974</v>
      </c>
      <c r="Q97" s="15" t="str">
        <f aca="false">IF(P97="https://lmcmic.ca"&amp;B97,"Yes","No")</f>
        <v>Yes</v>
      </c>
      <c r="R97" s="15" t="s">
        <v>110</v>
      </c>
      <c r="S97" s="15" t="s">
        <v>975</v>
      </c>
      <c r="T97" s="15" t="n">
        <v>2133</v>
      </c>
      <c r="U97" s="15" t="n">
        <v>8</v>
      </c>
      <c r="V97" s="15" t="n">
        <v>12</v>
      </c>
      <c r="W97" s="15" t="s">
        <v>976</v>
      </c>
      <c r="X97" s="15"/>
      <c r="Y97" s="15"/>
      <c r="Z97" s="15" t="s">
        <v>113</v>
      </c>
      <c r="AA97" s="15" t="s">
        <v>113</v>
      </c>
      <c r="AB97" s="15" t="s">
        <v>137</v>
      </c>
      <c r="AC97" s="15" t="s">
        <v>115</v>
      </c>
      <c r="AD97" s="15" t="str">
        <f aca="false">HYPERLINK("https://lmcmic.ca"&amp;B97,"Open")</f>
        <v>Open</v>
      </c>
    </row>
    <row r="98" customFormat="false" ht="35.05" hidden="false" customHeight="false" outlineLevel="0" collapsed="false">
      <c r="A98" s="15" t="n">
        <v>97</v>
      </c>
      <c r="B98" s="15" t="s">
        <v>977</v>
      </c>
      <c r="C98" s="15" t="s">
        <v>968</v>
      </c>
      <c r="D98" s="15" t="s">
        <v>268</v>
      </c>
      <c r="E98" s="15" t="s">
        <v>248</v>
      </c>
      <c r="F98" s="15" t="s">
        <v>978</v>
      </c>
      <c r="G98" s="15" t="n">
        <f aca="false">LEN(F98)</f>
        <v>54</v>
      </c>
      <c r="H98" s="15" t="str">
        <f aca="false">IF(AND(G98&gt;=30,G98&lt;=65),"OK","Review")</f>
        <v>OK</v>
      </c>
      <c r="I98" s="15" t="s">
        <v>979</v>
      </c>
      <c r="J98" s="15" t="n">
        <f aca="false">LEN(I98)</f>
        <v>153</v>
      </c>
      <c r="K98" s="15" t="str">
        <f aca="false">IF(AND(J98&gt;=120,J98&lt;=160),"OK","Review")</f>
        <v>OK</v>
      </c>
      <c r="L98" s="15" t="s">
        <v>980</v>
      </c>
      <c r="M98" s="15" t="s">
        <v>981</v>
      </c>
      <c r="N98" s="15" t="s">
        <v>982</v>
      </c>
      <c r="O98" s="15" t="s">
        <v>983</v>
      </c>
      <c r="P98" s="15" t="s">
        <v>984</v>
      </c>
      <c r="Q98" s="15" t="str">
        <f aca="false">IF(P98="https://lmcmic.ca"&amp;B98,"Yes","No")</f>
        <v>Yes</v>
      </c>
      <c r="R98" s="15" t="s">
        <v>110</v>
      </c>
      <c r="S98" s="15" t="s">
        <v>975</v>
      </c>
      <c r="T98" s="15" t="n">
        <v>2230</v>
      </c>
      <c r="U98" s="15" t="n">
        <v>6</v>
      </c>
      <c r="V98" s="15" t="n">
        <v>10</v>
      </c>
      <c r="W98" s="15" t="s">
        <v>985</v>
      </c>
      <c r="X98" s="15"/>
      <c r="Y98" s="15"/>
      <c r="Z98" s="15" t="s">
        <v>113</v>
      </c>
      <c r="AA98" s="15" t="s">
        <v>113</v>
      </c>
      <c r="AB98" s="15" t="s">
        <v>137</v>
      </c>
      <c r="AC98" s="15" t="s">
        <v>115</v>
      </c>
      <c r="AD98" s="15" t="str">
        <f aca="false">HYPERLINK("https://lmcmic.ca"&amp;B98,"Open")</f>
        <v>Open</v>
      </c>
    </row>
  </sheetData>
  <autoFilter ref="A1:AD98"/>
  <conditionalFormatting sqref="H2:H98">
    <cfRule type="cellIs" priority="2" operator="equal" aboveAverage="0" equalAverage="0" bottom="0" percent="0" rank="0" text="" dxfId="4">
      <formula>"OK"</formula>
    </cfRule>
    <cfRule type="cellIs" priority="3" operator="equal" aboveAverage="0" equalAverage="0" bottom="0" percent="0" rank="0" text="" dxfId="4">
      <formula>"Yes"</formula>
    </cfRule>
    <cfRule type="cellIs" priority="4" operator="equal" aboveAverage="0" equalAverage="0" bottom="0" percent="0" rank="0" text="" dxfId="5">
      <formula>"Review"</formula>
    </cfRule>
    <cfRule type="cellIs" priority="5" operator="equal" aboveAverage="0" equalAverage="0" bottom="0" percent="0" rank="0" text="" dxfId="6">
      <formula>"No"</formula>
    </cfRule>
  </conditionalFormatting>
  <conditionalFormatting sqref="K2:K98">
    <cfRule type="cellIs" priority="6" operator="equal" aboveAverage="0" equalAverage="0" bottom="0" percent="0" rank="0" text="" dxfId="4">
      <formula>"OK"</formula>
    </cfRule>
    <cfRule type="cellIs" priority="7" operator="equal" aboveAverage="0" equalAverage="0" bottom="0" percent="0" rank="0" text="" dxfId="4">
      <formula>"Yes"</formula>
    </cfRule>
    <cfRule type="cellIs" priority="8" operator="equal" aboveAverage="0" equalAverage="0" bottom="0" percent="0" rank="0" text="" dxfId="5">
      <formula>"Review"</formula>
    </cfRule>
    <cfRule type="cellIs" priority="9" operator="equal" aboveAverage="0" equalAverage="0" bottom="0" percent="0" rank="0" text="" dxfId="6">
      <formula>"No"</formula>
    </cfRule>
  </conditionalFormatting>
  <conditionalFormatting sqref="Q2:Q98">
    <cfRule type="cellIs" priority="10" operator="equal" aboveAverage="0" equalAverage="0" bottom="0" percent="0" rank="0" text="" dxfId="4">
      <formula>"OK"</formula>
    </cfRule>
    <cfRule type="cellIs" priority="11" operator="equal" aboveAverage="0" equalAverage="0" bottom="0" percent="0" rank="0" text="" dxfId="4">
      <formula>"Yes"</formula>
    </cfRule>
    <cfRule type="cellIs" priority="12" operator="equal" aboveAverage="0" equalAverage="0" bottom="0" percent="0" rank="0" text="" dxfId="5">
      <formula>"Review"</formula>
    </cfRule>
    <cfRule type="cellIs" priority="13" operator="equal" aboveAverage="0" equalAverage="0" bottom="0" percent="0" rank="0" text="" dxfId="6">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T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30"/>
    <col collapsed="false" customWidth="true" hidden="false" outlineLevel="0" max="4" min="4" style="0" width="18"/>
    <col collapsed="false" customWidth="true" hidden="false" outlineLevel="0" max="5" min="5" style="0" width="16"/>
    <col collapsed="false" customWidth="true" hidden="false" outlineLevel="0" max="6" min="6" style="0" width="18"/>
    <col collapsed="false" customWidth="true" hidden="false" outlineLevel="0" max="8" min="7" style="0" width="10"/>
    <col collapsed="false" customWidth="true" hidden="false" outlineLevel="0" max="9" min="9" style="0" width="9"/>
    <col collapsed="false" customWidth="true" hidden="false" outlineLevel="0" max="10" min="10" style="0" width="16"/>
    <col collapsed="false" customWidth="true" hidden="false" outlineLevel="0" max="11" min="11" style="0" width="11"/>
    <col collapsed="false" customWidth="true" hidden="false" outlineLevel="0" max="12" min="12" style="0" width="34"/>
    <col collapsed="false" customWidth="true" hidden="false" outlineLevel="0" max="13" min="13" style="0" width="42"/>
    <col collapsed="false" customWidth="true" hidden="false" outlineLevel="0" max="14" min="14" style="0" width="46"/>
    <col collapsed="false" customWidth="true" hidden="false" outlineLevel="0" max="15" min="15" style="0" width="9"/>
    <col collapsed="false" customWidth="true" hidden="false" outlineLevel="0" max="16" min="16" style="0" width="12"/>
    <col collapsed="false" customWidth="true" hidden="false" outlineLevel="0" max="17" min="17" style="0" width="18"/>
    <col collapsed="false" customWidth="true" hidden="false" outlineLevel="0" max="19" min="18" style="0" width="11"/>
    <col collapsed="false" customWidth="true" hidden="false" outlineLevel="0" max="20" min="20" style="0" width="30"/>
  </cols>
  <sheetData>
    <row r="1" customFormat="false" ht="30" hidden="false" customHeight="true" outlineLevel="0" collapsed="false">
      <c r="A1" s="14" t="s">
        <v>986</v>
      </c>
      <c r="B1" s="14" t="s">
        <v>987</v>
      </c>
      <c r="C1" s="14" t="s">
        <v>988</v>
      </c>
      <c r="D1" s="14" t="s">
        <v>989</v>
      </c>
      <c r="E1" s="14" t="s">
        <v>990</v>
      </c>
      <c r="F1" s="14" t="s">
        <v>991</v>
      </c>
      <c r="G1" s="14" t="s">
        <v>992</v>
      </c>
      <c r="H1" s="14" t="s">
        <v>993</v>
      </c>
      <c r="I1" s="14" t="s">
        <v>994</v>
      </c>
      <c r="J1" s="14" t="s">
        <v>995</v>
      </c>
      <c r="K1" s="14" t="s">
        <v>996</v>
      </c>
      <c r="L1" s="14" t="s">
        <v>997</v>
      </c>
      <c r="M1" s="14" t="s">
        <v>99</v>
      </c>
      <c r="N1" s="14" t="s">
        <v>998</v>
      </c>
      <c r="O1" s="14" t="s">
        <v>999</v>
      </c>
      <c r="P1" s="14" t="s">
        <v>1000</v>
      </c>
      <c r="Q1" s="14" t="s">
        <v>1001</v>
      </c>
      <c r="R1" s="14" t="s">
        <v>1002</v>
      </c>
      <c r="S1" s="14" t="s">
        <v>1003</v>
      </c>
      <c r="T1" s="14" t="s">
        <v>1004</v>
      </c>
    </row>
    <row r="2" customFormat="false" ht="15" hidden="false" customHeight="false" outlineLevel="0" collapsed="false">
      <c r="A2" s="15" t="s">
        <v>938</v>
      </c>
      <c r="B2" s="15" t="s">
        <v>1005</v>
      </c>
      <c r="C2" s="15" t="s">
        <v>1006</v>
      </c>
      <c r="D2" s="15" t="s">
        <v>1007</v>
      </c>
      <c r="E2" s="15" t="s">
        <v>1008</v>
      </c>
      <c r="F2" s="15" t="s">
        <v>1009</v>
      </c>
      <c r="G2" s="15" t="n">
        <v>5</v>
      </c>
      <c r="H2" s="15" t="n">
        <v>4</v>
      </c>
      <c r="I2" s="15" t="n">
        <f aca="false">IF(AND(ISNUMBER(G2),ISNUMBER(H2)),G2*2-H2,"")</f>
        <v>6</v>
      </c>
      <c r="J2" s="15" t="s">
        <v>1010</v>
      </c>
      <c r="K2" s="15" t="s">
        <v>1011</v>
      </c>
      <c r="L2" s="15" t="s">
        <v>1012</v>
      </c>
      <c r="M2" s="15" t="s">
        <v>934</v>
      </c>
      <c r="N2" s="15" t="str">
        <f aca="false">IF(M2="","Not built (workbook: do not build)",IFERROR(INDEX(Pages!$F$2:$F$98,MATCH(M2,Pages!$B$2:$B$98,0)),"Not found"))</f>
        <v>What Is Mortgage Investing in Canada? | Lendmax Capital MIC</v>
      </c>
      <c r="O2" s="15" t="s">
        <v>113</v>
      </c>
      <c r="P2" s="16"/>
      <c r="Q2" s="16"/>
      <c r="R2" s="16"/>
      <c r="S2" s="16"/>
      <c r="T2" s="15"/>
    </row>
    <row r="3" customFormat="false" ht="15" hidden="false" customHeight="false" outlineLevel="0" collapsed="false">
      <c r="A3" s="15" t="s">
        <v>1013</v>
      </c>
      <c r="B3" s="15" t="s">
        <v>1005</v>
      </c>
      <c r="C3" s="15" t="s">
        <v>1006</v>
      </c>
      <c r="D3" s="15" t="s">
        <v>1007</v>
      </c>
      <c r="E3" s="15" t="s">
        <v>1008</v>
      </c>
      <c r="F3" s="15" t="s">
        <v>1009</v>
      </c>
      <c r="G3" s="15" t="n">
        <v>5</v>
      </c>
      <c r="H3" s="15" t="n">
        <v>4</v>
      </c>
      <c r="I3" s="15" t="n">
        <f aca="false">IF(AND(ISNUMBER(G3),ISNUMBER(H3)),G3*2-H3,"")</f>
        <v>6</v>
      </c>
      <c r="J3" s="15" t="s">
        <v>1010</v>
      </c>
      <c r="K3" s="15" t="s">
        <v>1011</v>
      </c>
      <c r="L3" s="15" t="s">
        <v>1012</v>
      </c>
      <c r="M3" s="15" t="s">
        <v>934</v>
      </c>
      <c r="N3" s="15" t="str">
        <f aca="false">IF(M3="","Not built (workbook: do not build)",IFERROR(INDEX(Pages!$F$2:$F$98,MATCH(M3,Pages!$B$2:$B$98,0)),"Not found"))</f>
        <v>What Is Mortgage Investing in Canada? | Lendmax Capital MIC</v>
      </c>
      <c r="O3" s="15" t="s">
        <v>113</v>
      </c>
      <c r="P3" s="16"/>
      <c r="Q3" s="16"/>
      <c r="R3" s="16"/>
      <c r="S3" s="16"/>
      <c r="T3" s="15"/>
    </row>
    <row r="4" customFormat="false" ht="15" hidden="false" customHeight="false" outlineLevel="0" collapsed="false">
      <c r="A4" s="15" t="s">
        <v>1014</v>
      </c>
      <c r="B4" s="15" t="s">
        <v>1015</v>
      </c>
      <c r="C4" s="15" t="s">
        <v>1006</v>
      </c>
      <c r="D4" s="15" t="s">
        <v>1016</v>
      </c>
      <c r="E4" s="15" t="s">
        <v>1008</v>
      </c>
      <c r="F4" s="15" t="s">
        <v>1009</v>
      </c>
      <c r="G4" s="15" t="n">
        <v>5</v>
      </c>
      <c r="H4" s="15" t="n">
        <v>3</v>
      </c>
      <c r="I4" s="15" t="n">
        <f aca="false">IF(AND(ISNUMBER(G4),ISNUMBER(H4)),G4*2-H4,"")</f>
        <v>7</v>
      </c>
      <c r="J4" s="15" t="s">
        <v>1010</v>
      </c>
      <c r="K4" s="15" t="s">
        <v>1011</v>
      </c>
      <c r="L4" s="15" t="s">
        <v>1012</v>
      </c>
      <c r="M4" s="15" t="s">
        <v>934</v>
      </c>
      <c r="N4" s="15" t="str">
        <f aca="false">IF(M4="","Not built (workbook: do not build)",IFERROR(INDEX(Pages!$F$2:$F$98,MATCH(M4,Pages!$B$2:$B$98,0)),"Not found"))</f>
        <v>What Is Mortgage Investing in Canada? | Lendmax Capital MIC</v>
      </c>
      <c r="O4" s="15" t="s">
        <v>113</v>
      </c>
      <c r="P4" s="16"/>
      <c r="Q4" s="16"/>
      <c r="R4" s="16"/>
      <c r="S4" s="16"/>
      <c r="T4" s="15"/>
    </row>
    <row r="5" customFormat="false" ht="15" hidden="false" customHeight="false" outlineLevel="0" collapsed="false">
      <c r="A5" s="15" t="s">
        <v>1017</v>
      </c>
      <c r="B5" s="15" t="s">
        <v>1015</v>
      </c>
      <c r="C5" s="15" t="s">
        <v>1006</v>
      </c>
      <c r="D5" s="15" t="s">
        <v>1016</v>
      </c>
      <c r="E5" s="15" t="s">
        <v>1008</v>
      </c>
      <c r="F5" s="15" t="s">
        <v>1009</v>
      </c>
      <c r="G5" s="15" t="n">
        <v>5</v>
      </c>
      <c r="H5" s="15" t="n">
        <v>3</v>
      </c>
      <c r="I5" s="15" t="n">
        <f aca="false">IF(AND(ISNUMBER(G5),ISNUMBER(H5)),G5*2-H5,"")</f>
        <v>7</v>
      </c>
      <c r="J5" s="15" t="s">
        <v>1010</v>
      </c>
      <c r="K5" s="15" t="s">
        <v>1011</v>
      </c>
      <c r="L5" s="15" t="s">
        <v>1012</v>
      </c>
      <c r="M5" s="15" t="s">
        <v>934</v>
      </c>
      <c r="N5" s="15" t="str">
        <f aca="false">IF(M5="","Not built (workbook: do not build)",IFERROR(INDEX(Pages!$F$2:$F$98,MATCH(M5,Pages!$B$2:$B$98,0)),"Not found"))</f>
        <v>What Is Mortgage Investing in Canada? | Lendmax Capital MIC</v>
      </c>
      <c r="O5" s="15" t="s">
        <v>113</v>
      </c>
      <c r="P5" s="16"/>
      <c r="Q5" s="16"/>
      <c r="R5" s="16"/>
      <c r="S5" s="16"/>
      <c r="T5" s="15"/>
    </row>
    <row r="6" customFormat="false" ht="15" hidden="false" customHeight="false" outlineLevel="0" collapsed="false">
      <c r="A6" s="15" t="s">
        <v>1018</v>
      </c>
      <c r="B6" s="15" t="s">
        <v>1005</v>
      </c>
      <c r="C6" s="15" t="s">
        <v>1006</v>
      </c>
      <c r="D6" s="15" t="s">
        <v>1007</v>
      </c>
      <c r="E6" s="15" t="s">
        <v>1008</v>
      </c>
      <c r="F6" s="15" t="s">
        <v>1009</v>
      </c>
      <c r="G6" s="15" t="n">
        <v>4</v>
      </c>
      <c r="H6" s="15" t="n">
        <v>4</v>
      </c>
      <c r="I6" s="15" t="n">
        <f aca="false">IF(AND(ISNUMBER(G6),ISNUMBER(H6)),G6*2-H6,"")</f>
        <v>4</v>
      </c>
      <c r="J6" s="15" t="s">
        <v>1019</v>
      </c>
      <c r="K6" s="15" t="s">
        <v>1020</v>
      </c>
      <c r="L6" s="15" t="s">
        <v>1012</v>
      </c>
      <c r="M6" s="15" t="s">
        <v>934</v>
      </c>
      <c r="N6" s="15" t="str">
        <f aca="false">IF(M6="","Not built (workbook: do not build)",IFERROR(INDEX(Pages!$F$2:$F$98,MATCH(M6,Pages!$B$2:$B$98,0)),"Not found"))</f>
        <v>What Is Mortgage Investing in Canada? | Lendmax Capital MIC</v>
      </c>
      <c r="O6" s="15" t="s">
        <v>113</v>
      </c>
      <c r="P6" s="16"/>
      <c r="Q6" s="16"/>
      <c r="R6" s="16"/>
      <c r="S6" s="16"/>
      <c r="T6" s="15"/>
    </row>
    <row r="7" customFormat="false" ht="15" hidden="false" customHeight="false" outlineLevel="0" collapsed="false">
      <c r="A7" s="15" t="s">
        <v>1021</v>
      </c>
      <c r="B7" s="15" t="s">
        <v>1022</v>
      </c>
      <c r="C7" s="15" t="s">
        <v>1006</v>
      </c>
      <c r="D7" s="15" t="s">
        <v>1016</v>
      </c>
      <c r="E7" s="15" t="s">
        <v>1023</v>
      </c>
      <c r="F7" s="15" t="s">
        <v>1009</v>
      </c>
      <c r="G7" s="15" t="n">
        <v>5</v>
      </c>
      <c r="H7" s="15" t="n">
        <v>3</v>
      </c>
      <c r="I7" s="15" t="n">
        <f aca="false">IF(AND(ISNUMBER(G7),ISNUMBER(H7)),G7*2-H7,"")</f>
        <v>7</v>
      </c>
      <c r="J7" s="15" t="s">
        <v>1010</v>
      </c>
      <c r="K7" s="15" t="s">
        <v>1011</v>
      </c>
      <c r="L7" s="15" t="s">
        <v>1024</v>
      </c>
      <c r="M7" s="15" t="s">
        <v>125</v>
      </c>
      <c r="N7" s="15" t="str">
        <f aca="false">IF(M7="","Not built (workbook: do not build)",IFERROR(INDEX(Pages!$F$2:$F$98,MATCH(M7,Pages!$B$2:$B$98,0)),"Not found"))</f>
        <v>How to Start Investing in Mortgages: Step by Step</v>
      </c>
      <c r="O7" s="15" t="s">
        <v>113</v>
      </c>
      <c r="P7" s="16"/>
      <c r="Q7" s="16"/>
      <c r="R7" s="16"/>
      <c r="S7" s="16"/>
      <c r="T7" s="15"/>
    </row>
    <row r="8" customFormat="false" ht="15" hidden="false" customHeight="false" outlineLevel="0" collapsed="false">
      <c r="A8" s="15" t="s">
        <v>580</v>
      </c>
      <c r="B8" s="15" t="s">
        <v>1022</v>
      </c>
      <c r="C8" s="15" t="s">
        <v>1006</v>
      </c>
      <c r="D8" s="15" t="s">
        <v>1016</v>
      </c>
      <c r="E8" s="15" t="s">
        <v>1008</v>
      </c>
      <c r="F8" s="15" t="s">
        <v>1009</v>
      </c>
      <c r="G8" s="15" t="n">
        <v>4</v>
      </c>
      <c r="H8" s="15" t="n">
        <v>2</v>
      </c>
      <c r="I8" s="15" t="n">
        <f aca="false">IF(AND(ISNUMBER(G8),ISNUMBER(H8)),G8*2-H8,"")</f>
        <v>6</v>
      </c>
      <c r="J8" s="15" t="s">
        <v>1010</v>
      </c>
      <c r="K8" s="15" t="s">
        <v>1011</v>
      </c>
      <c r="L8" s="15" t="s">
        <v>1025</v>
      </c>
      <c r="M8" s="15" t="s">
        <v>576</v>
      </c>
      <c r="N8" s="15" t="str">
        <f aca="false">IF(M8="","Not built (workbook: do not build)",IFERROR(INDEX(Pages!$F$2:$F$98,MATCH(M8,Pages!$B$2:$B$98,0)),"Not found"))</f>
        <v>Mortgage Investing for Beginners in Canada | Lendmax Capital MIC</v>
      </c>
      <c r="O8" s="15" t="s">
        <v>113</v>
      </c>
      <c r="P8" s="16"/>
      <c r="Q8" s="16"/>
      <c r="R8" s="16"/>
      <c r="S8" s="16"/>
      <c r="T8" s="15"/>
    </row>
    <row r="9" customFormat="false" ht="15" hidden="false" customHeight="false" outlineLevel="0" collapsed="false">
      <c r="A9" s="15" t="s">
        <v>1026</v>
      </c>
      <c r="B9" s="15" t="s">
        <v>1022</v>
      </c>
      <c r="C9" s="15" t="s">
        <v>1006</v>
      </c>
      <c r="D9" s="15" t="s">
        <v>1016</v>
      </c>
      <c r="E9" s="15" t="s">
        <v>1008</v>
      </c>
      <c r="F9" s="15" t="s">
        <v>1009</v>
      </c>
      <c r="G9" s="15" t="n">
        <v>4</v>
      </c>
      <c r="H9" s="15" t="n">
        <v>2</v>
      </c>
      <c r="I9" s="15" t="n">
        <f aca="false">IF(AND(ISNUMBER(G9),ISNUMBER(H9)),G9*2-H9,"")</f>
        <v>6</v>
      </c>
      <c r="J9" s="15" t="s">
        <v>1010</v>
      </c>
      <c r="K9" s="15" t="s">
        <v>1011</v>
      </c>
      <c r="L9" s="15" t="s">
        <v>1012</v>
      </c>
      <c r="M9" s="15" t="s">
        <v>576</v>
      </c>
      <c r="N9" s="15" t="str">
        <f aca="false">IF(M9="","Not built (workbook: do not build)",IFERROR(INDEX(Pages!$F$2:$F$98,MATCH(M9,Pages!$B$2:$B$98,0)),"Not found"))</f>
        <v>Mortgage Investing for Beginners in Canada | Lendmax Capital MIC</v>
      </c>
      <c r="O9" s="15" t="s">
        <v>113</v>
      </c>
      <c r="P9" s="16"/>
      <c r="Q9" s="16"/>
      <c r="R9" s="16"/>
      <c r="S9" s="16"/>
      <c r="T9" s="15"/>
    </row>
    <row r="10" customFormat="false" ht="15" hidden="false" customHeight="false" outlineLevel="0" collapsed="false">
      <c r="A10" s="15" t="s">
        <v>120</v>
      </c>
      <c r="B10" s="15" t="s">
        <v>1015</v>
      </c>
      <c r="C10" s="15" t="s">
        <v>1006</v>
      </c>
      <c r="D10" s="15" t="s">
        <v>350</v>
      </c>
      <c r="E10" s="15" t="s">
        <v>1027</v>
      </c>
      <c r="F10" s="15" t="s">
        <v>1009</v>
      </c>
      <c r="G10" s="15" t="n">
        <v>5</v>
      </c>
      <c r="H10" s="15" t="n">
        <v>3</v>
      </c>
      <c r="I10" s="15" t="n">
        <f aca="false">IF(AND(ISNUMBER(G10),ISNUMBER(H10)),G10*2-H10,"")</f>
        <v>7</v>
      </c>
      <c r="J10" s="15" t="s">
        <v>1010</v>
      </c>
      <c r="K10" s="15" t="s">
        <v>1020</v>
      </c>
      <c r="L10" s="15" t="s">
        <v>1028</v>
      </c>
      <c r="M10" s="15" t="s">
        <v>116</v>
      </c>
      <c r="N10" s="15" t="str">
        <f aca="false">IF(M10="","Not built (workbook: do not build)",IFERROR(INDEX(Pages!$F$2:$F$98,MATCH(M10,Pages!$B$2:$B$98,0)),"Not found"))</f>
        <v>Mortgage Investment Opportunities Canada | Lendmax Capital MIC</v>
      </c>
      <c r="O10" s="15" t="s">
        <v>113</v>
      </c>
      <c r="P10" s="16"/>
      <c r="Q10" s="16"/>
      <c r="R10" s="16"/>
      <c r="S10" s="16"/>
      <c r="T10" s="15"/>
    </row>
    <row r="11" customFormat="false" ht="15" hidden="false" customHeight="false" outlineLevel="0" collapsed="false">
      <c r="A11" s="15" t="s">
        <v>1029</v>
      </c>
      <c r="B11" s="15" t="s">
        <v>1022</v>
      </c>
      <c r="C11" s="15" t="s">
        <v>1006</v>
      </c>
      <c r="D11" s="15" t="s">
        <v>350</v>
      </c>
      <c r="E11" s="15" t="s">
        <v>1027</v>
      </c>
      <c r="F11" s="15" t="s">
        <v>1009</v>
      </c>
      <c r="G11" s="15" t="n">
        <v>5</v>
      </c>
      <c r="H11" s="15" t="n">
        <v>3</v>
      </c>
      <c r="I11" s="15" t="n">
        <f aca="false">IF(AND(ISNUMBER(G11),ISNUMBER(H11)),G11*2-H11,"")</f>
        <v>7</v>
      </c>
      <c r="J11" s="15" t="s">
        <v>1010</v>
      </c>
      <c r="K11" s="15" t="s">
        <v>1020</v>
      </c>
      <c r="L11" s="15" t="s">
        <v>1028</v>
      </c>
      <c r="M11" s="15" t="s">
        <v>116</v>
      </c>
      <c r="N11" s="15" t="str">
        <f aca="false">IF(M11="","Not built (workbook: do not build)",IFERROR(INDEX(Pages!$F$2:$F$98,MATCH(M11,Pages!$B$2:$B$98,0)),"Not found"))</f>
        <v>Mortgage Investment Opportunities Canada | Lendmax Capital MIC</v>
      </c>
      <c r="O11" s="15" t="s">
        <v>113</v>
      </c>
      <c r="P11" s="16"/>
      <c r="Q11" s="16"/>
      <c r="R11" s="16"/>
      <c r="S11" s="16"/>
      <c r="T11" s="15"/>
    </row>
    <row r="12" customFormat="false" ht="15" hidden="false" customHeight="false" outlineLevel="0" collapsed="false">
      <c r="A12" s="15" t="s">
        <v>1030</v>
      </c>
      <c r="B12" s="15" t="s">
        <v>1022</v>
      </c>
      <c r="C12" s="15" t="s">
        <v>1006</v>
      </c>
      <c r="D12" s="15" t="s">
        <v>1016</v>
      </c>
      <c r="E12" s="15" t="s">
        <v>1008</v>
      </c>
      <c r="F12" s="15" t="s">
        <v>1009</v>
      </c>
      <c r="G12" s="15" t="n">
        <v>3</v>
      </c>
      <c r="H12" s="15" t="n">
        <v>2</v>
      </c>
      <c r="I12" s="15" t="n">
        <f aca="false">IF(AND(ISNUMBER(G12),ISNUMBER(H12)),G12*2-H12,"")</f>
        <v>4</v>
      </c>
      <c r="J12" s="15" t="s">
        <v>1019</v>
      </c>
      <c r="K12" s="15" t="s">
        <v>1020</v>
      </c>
      <c r="L12" s="15" t="s">
        <v>1012</v>
      </c>
      <c r="M12" s="15" t="s">
        <v>934</v>
      </c>
      <c r="N12" s="15" t="str">
        <f aca="false">IF(M12="","Not built (workbook: do not build)",IFERROR(INDEX(Pages!$F$2:$F$98,MATCH(M12,Pages!$B$2:$B$98,0)),"Not found"))</f>
        <v>What Is Mortgage Investing in Canada? | Lendmax Capital MIC</v>
      </c>
      <c r="O12" s="15" t="s">
        <v>113</v>
      </c>
      <c r="P12" s="16"/>
      <c r="Q12" s="16"/>
      <c r="R12" s="16"/>
      <c r="S12" s="16"/>
      <c r="T12" s="15"/>
    </row>
    <row r="13" customFormat="false" ht="15" hidden="false" customHeight="false" outlineLevel="0" collapsed="false">
      <c r="A13" s="15" t="s">
        <v>1031</v>
      </c>
      <c r="B13" s="15" t="s">
        <v>1015</v>
      </c>
      <c r="C13" s="15" t="s">
        <v>1006</v>
      </c>
      <c r="D13" s="15" t="s">
        <v>1016</v>
      </c>
      <c r="E13" s="15" t="s">
        <v>1023</v>
      </c>
      <c r="F13" s="15" t="s">
        <v>1009</v>
      </c>
      <c r="G13" s="15" t="n">
        <v>4</v>
      </c>
      <c r="H13" s="15" t="n">
        <v>2</v>
      </c>
      <c r="I13" s="15" t="n">
        <f aca="false">IF(AND(ISNUMBER(G13),ISNUMBER(H13)),G13*2-H13,"")</f>
        <v>6</v>
      </c>
      <c r="J13" s="15" t="s">
        <v>1010</v>
      </c>
      <c r="K13" s="15" t="s">
        <v>1011</v>
      </c>
      <c r="L13" s="15" t="s">
        <v>1032</v>
      </c>
      <c r="M13" s="15" t="s">
        <v>934</v>
      </c>
      <c r="N13" s="15" t="str">
        <f aca="false">IF(M13="","Not built (workbook: do not build)",IFERROR(INDEX(Pages!$F$2:$F$98,MATCH(M13,Pages!$B$2:$B$98,0)),"Not found"))</f>
        <v>What Is Mortgage Investing in Canada? | Lendmax Capital MIC</v>
      </c>
      <c r="O13" s="15" t="s">
        <v>113</v>
      </c>
      <c r="P13" s="16"/>
      <c r="Q13" s="16"/>
      <c r="R13" s="16"/>
      <c r="S13" s="16"/>
      <c r="T13" s="15"/>
    </row>
    <row r="14" customFormat="false" ht="15" hidden="false" customHeight="false" outlineLevel="0" collapsed="false">
      <c r="A14" s="15" t="s">
        <v>1033</v>
      </c>
      <c r="B14" s="15" t="s">
        <v>1022</v>
      </c>
      <c r="C14" s="15" t="s">
        <v>1006</v>
      </c>
      <c r="D14" s="15" t="s">
        <v>1016</v>
      </c>
      <c r="E14" s="15" t="s">
        <v>1023</v>
      </c>
      <c r="F14" s="15" t="s">
        <v>1009</v>
      </c>
      <c r="G14" s="15" t="n">
        <v>4</v>
      </c>
      <c r="H14" s="15" t="n">
        <v>2</v>
      </c>
      <c r="I14" s="15" t="n">
        <f aca="false">IF(AND(ISNUMBER(G14),ISNUMBER(H14)),G14*2-H14,"")</f>
        <v>6</v>
      </c>
      <c r="J14" s="15" t="s">
        <v>1010</v>
      </c>
      <c r="K14" s="15" t="s">
        <v>1011</v>
      </c>
      <c r="L14" s="15" t="s">
        <v>1032</v>
      </c>
      <c r="M14" s="15" t="s">
        <v>934</v>
      </c>
      <c r="N14" s="15" t="str">
        <f aca="false">IF(M14="","Not built (workbook: do not build)",IFERROR(INDEX(Pages!$F$2:$F$98,MATCH(M14,Pages!$B$2:$B$98,0)),"Not found"))</f>
        <v>What Is Mortgage Investing in Canada? | Lendmax Capital MIC</v>
      </c>
      <c r="O14" s="15" t="s">
        <v>113</v>
      </c>
      <c r="P14" s="16"/>
      <c r="Q14" s="16"/>
      <c r="R14" s="16"/>
      <c r="S14" s="16"/>
      <c r="T14" s="15"/>
    </row>
    <row r="15" customFormat="false" ht="15" hidden="false" customHeight="false" outlineLevel="0" collapsed="false">
      <c r="A15" s="15" t="s">
        <v>1034</v>
      </c>
      <c r="B15" s="15" t="s">
        <v>1015</v>
      </c>
      <c r="C15" s="15" t="s">
        <v>1006</v>
      </c>
      <c r="D15" s="15" t="s">
        <v>1016</v>
      </c>
      <c r="E15" s="15" t="s">
        <v>1023</v>
      </c>
      <c r="F15" s="15" t="s">
        <v>1009</v>
      </c>
      <c r="G15" s="15" t="n">
        <v>4</v>
      </c>
      <c r="H15" s="15" t="n">
        <v>2</v>
      </c>
      <c r="I15" s="15" t="n">
        <f aca="false">IF(AND(ISNUMBER(G15),ISNUMBER(H15)),G15*2-H15,"")</f>
        <v>6</v>
      </c>
      <c r="J15" s="15" t="s">
        <v>1010</v>
      </c>
      <c r="K15" s="15" t="s">
        <v>1020</v>
      </c>
      <c r="L15" s="15" t="s">
        <v>1032</v>
      </c>
      <c r="M15" s="15" t="s">
        <v>934</v>
      </c>
      <c r="N15" s="15" t="str">
        <f aca="false">IF(M15="","Not built (workbook: do not build)",IFERROR(INDEX(Pages!$F$2:$F$98,MATCH(M15,Pages!$B$2:$B$98,0)),"Not found"))</f>
        <v>What Is Mortgage Investing in Canada? | Lendmax Capital MIC</v>
      </c>
      <c r="O15" s="15" t="s">
        <v>113</v>
      </c>
      <c r="P15" s="16"/>
      <c r="Q15" s="16"/>
      <c r="R15" s="16"/>
      <c r="S15" s="16"/>
      <c r="T15" s="15"/>
    </row>
    <row r="16" customFormat="false" ht="15" hidden="false" customHeight="false" outlineLevel="0" collapsed="false">
      <c r="A16" s="15" t="s">
        <v>1035</v>
      </c>
      <c r="B16" s="15" t="s">
        <v>1015</v>
      </c>
      <c r="C16" s="15" t="s">
        <v>1006</v>
      </c>
      <c r="D16" s="15" t="s">
        <v>1016</v>
      </c>
      <c r="E16" s="15" t="s">
        <v>1023</v>
      </c>
      <c r="F16" s="15" t="s">
        <v>1009</v>
      </c>
      <c r="G16" s="15" t="n">
        <v>3</v>
      </c>
      <c r="H16" s="15" t="n">
        <v>2</v>
      </c>
      <c r="I16" s="15" t="n">
        <f aca="false">IF(AND(ISNUMBER(G16),ISNUMBER(H16)),G16*2-H16,"")</f>
        <v>4</v>
      </c>
      <c r="J16" s="15" t="s">
        <v>1019</v>
      </c>
      <c r="K16" s="15" t="s">
        <v>1020</v>
      </c>
      <c r="L16" s="15" t="s">
        <v>1032</v>
      </c>
      <c r="M16" s="15" t="s">
        <v>934</v>
      </c>
      <c r="N16" s="15" t="str">
        <f aca="false">IF(M16="","Not built (workbook: do not build)",IFERROR(INDEX(Pages!$F$2:$F$98,MATCH(M16,Pages!$B$2:$B$98,0)),"Not found"))</f>
        <v>What Is Mortgage Investing in Canada? | Lendmax Capital MIC</v>
      </c>
      <c r="O16" s="15" t="s">
        <v>113</v>
      </c>
      <c r="P16" s="16"/>
      <c r="Q16" s="16"/>
      <c r="R16" s="16"/>
      <c r="S16" s="16"/>
      <c r="T16" s="15"/>
    </row>
    <row r="17" customFormat="false" ht="15" hidden="false" customHeight="false" outlineLevel="0" collapsed="false">
      <c r="A17" s="15" t="s">
        <v>1036</v>
      </c>
      <c r="B17" s="15" t="s">
        <v>1022</v>
      </c>
      <c r="C17" s="15" t="s">
        <v>1006</v>
      </c>
      <c r="D17" s="15" t="s">
        <v>350</v>
      </c>
      <c r="E17" s="15" t="s">
        <v>1027</v>
      </c>
      <c r="F17" s="15" t="s">
        <v>1009</v>
      </c>
      <c r="G17" s="15" t="n">
        <v>4</v>
      </c>
      <c r="H17" s="15" t="n">
        <v>2</v>
      </c>
      <c r="I17" s="15" t="n">
        <f aca="false">IF(AND(ISNUMBER(G17),ISNUMBER(H17)),G17*2-H17,"")</f>
        <v>6</v>
      </c>
      <c r="J17" s="15" t="s">
        <v>1010</v>
      </c>
      <c r="K17" s="15" t="s">
        <v>1011</v>
      </c>
      <c r="L17" s="15" t="s">
        <v>1037</v>
      </c>
      <c r="M17" s="15" t="s">
        <v>934</v>
      </c>
      <c r="N17" s="15" t="str">
        <f aca="false">IF(M17="","Not built (workbook: do not build)",IFERROR(INDEX(Pages!$F$2:$F$98,MATCH(M17,Pages!$B$2:$B$98,0)),"Not found"))</f>
        <v>What Is Mortgage Investing in Canada? | Lendmax Capital MIC</v>
      </c>
      <c r="O17" s="15" t="s">
        <v>113</v>
      </c>
      <c r="P17" s="16"/>
      <c r="Q17" s="16"/>
      <c r="R17" s="16"/>
      <c r="S17" s="16"/>
      <c r="T17" s="15"/>
    </row>
    <row r="18" customFormat="false" ht="15" hidden="false" customHeight="false" outlineLevel="0" collapsed="false">
      <c r="A18" s="15" t="s">
        <v>1038</v>
      </c>
      <c r="B18" s="15" t="s">
        <v>1022</v>
      </c>
      <c r="C18" s="15" t="s">
        <v>1006</v>
      </c>
      <c r="D18" s="15" t="s">
        <v>1007</v>
      </c>
      <c r="E18" s="15" t="s">
        <v>1008</v>
      </c>
      <c r="F18" s="15" t="s">
        <v>1009</v>
      </c>
      <c r="G18" s="15" t="n">
        <v>3</v>
      </c>
      <c r="H18" s="15" t="n">
        <v>2</v>
      </c>
      <c r="I18" s="15" t="n">
        <f aca="false">IF(AND(ISNUMBER(G18),ISNUMBER(H18)),G18*2-H18,"")</f>
        <v>4</v>
      </c>
      <c r="J18" s="15" t="s">
        <v>1019</v>
      </c>
      <c r="K18" s="15" t="s">
        <v>1011</v>
      </c>
      <c r="L18" s="15" t="s">
        <v>1012</v>
      </c>
      <c r="M18" s="15" t="s">
        <v>934</v>
      </c>
      <c r="N18" s="15" t="str">
        <f aca="false">IF(M18="","Not built (workbook: do not build)",IFERROR(INDEX(Pages!$F$2:$F$98,MATCH(M18,Pages!$B$2:$B$98,0)),"Not found"))</f>
        <v>What Is Mortgage Investing in Canada? | Lendmax Capital MIC</v>
      </c>
      <c r="O18" s="15" t="s">
        <v>113</v>
      </c>
      <c r="P18" s="16"/>
      <c r="Q18" s="16"/>
      <c r="R18" s="16"/>
      <c r="S18" s="16"/>
      <c r="T18" s="15"/>
    </row>
    <row r="19" customFormat="false" ht="15" hidden="false" customHeight="false" outlineLevel="0" collapsed="false">
      <c r="A19" s="15" t="s">
        <v>1039</v>
      </c>
      <c r="B19" s="15" t="s">
        <v>1015</v>
      </c>
      <c r="C19" s="15" t="s">
        <v>1006</v>
      </c>
      <c r="D19" s="15" t="s">
        <v>1007</v>
      </c>
      <c r="E19" s="15" t="s">
        <v>1008</v>
      </c>
      <c r="F19" s="15" t="s">
        <v>1009</v>
      </c>
      <c r="G19" s="15" t="n">
        <v>4</v>
      </c>
      <c r="H19" s="15" t="n">
        <v>3</v>
      </c>
      <c r="I19" s="15" t="n">
        <f aca="false">IF(AND(ISNUMBER(G19),ISNUMBER(H19)),G19*2-H19,"")</f>
        <v>5</v>
      </c>
      <c r="J19" s="15" t="s">
        <v>1019</v>
      </c>
      <c r="K19" s="15" t="s">
        <v>1020</v>
      </c>
      <c r="L19" s="15" t="s">
        <v>1012</v>
      </c>
      <c r="M19" s="15" t="s">
        <v>934</v>
      </c>
      <c r="N19" s="15" t="str">
        <f aca="false">IF(M19="","Not built (workbook: do not build)",IFERROR(INDEX(Pages!$F$2:$F$98,MATCH(M19,Pages!$B$2:$B$98,0)),"Not found"))</f>
        <v>What Is Mortgage Investing in Canada? | Lendmax Capital MIC</v>
      </c>
      <c r="O19" s="15" t="s">
        <v>113</v>
      </c>
      <c r="P19" s="16"/>
      <c r="Q19" s="16"/>
      <c r="R19" s="16"/>
      <c r="S19" s="16"/>
      <c r="T19" s="15"/>
    </row>
    <row r="20" customFormat="false" ht="15" hidden="false" customHeight="false" outlineLevel="0" collapsed="false">
      <c r="A20" s="15" t="s">
        <v>1040</v>
      </c>
      <c r="B20" s="15" t="s">
        <v>1015</v>
      </c>
      <c r="C20" s="15" t="s">
        <v>1006</v>
      </c>
      <c r="D20" s="15" t="s">
        <v>1016</v>
      </c>
      <c r="E20" s="15" t="s">
        <v>1023</v>
      </c>
      <c r="F20" s="15" t="s">
        <v>1009</v>
      </c>
      <c r="G20" s="15" t="n">
        <v>4</v>
      </c>
      <c r="H20" s="15" t="n">
        <v>3</v>
      </c>
      <c r="I20" s="15" t="n">
        <f aca="false">IF(AND(ISNUMBER(G20),ISNUMBER(H20)),G20*2-H20,"")</f>
        <v>5</v>
      </c>
      <c r="J20" s="15" t="s">
        <v>1019</v>
      </c>
      <c r="K20" s="15" t="s">
        <v>1011</v>
      </c>
      <c r="L20" s="15" t="s">
        <v>1041</v>
      </c>
      <c r="M20" s="15" t="s">
        <v>846</v>
      </c>
      <c r="N20" s="15" t="str">
        <f aca="false">IF(M20="","Not built (workbook: do not build)",IFERROR(INDEX(Pages!$F$2:$F$98,MATCH(M20,Pages!$B$2:$B$98,0)),"Not found"))</f>
        <v>Real Estate Exposure Without Owning Property</v>
      </c>
      <c r="O20" s="15" t="s">
        <v>113</v>
      </c>
      <c r="P20" s="16"/>
      <c r="Q20" s="16"/>
      <c r="R20" s="16"/>
      <c r="S20" s="16"/>
      <c r="T20" s="15"/>
    </row>
    <row r="21" customFormat="false" ht="15" hidden="false" customHeight="false" outlineLevel="0" collapsed="false">
      <c r="A21" s="15" t="s">
        <v>426</v>
      </c>
      <c r="B21" s="15" t="s">
        <v>1005</v>
      </c>
      <c r="C21" s="15" t="s">
        <v>1042</v>
      </c>
      <c r="D21" s="15" t="s">
        <v>1016</v>
      </c>
      <c r="E21" s="15" t="s">
        <v>1027</v>
      </c>
      <c r="F21" s="15" t="s">
        <v>1009</v>
      </c>
      <c r="G21" s="15" t="n">
        <v>5</v>
      </c>
      <c r="H21" s="15" t="n">
        <v>3</v>
      </c>
      <c r="I21" s="15" t="n">
        <f aca="false">IF(AND(ISNUMBER(G21),ISNUMBER(H21)),G21*2-H21,"")</f>
        <v>7</v>
      </c>
      <c r="J21" s="15" t="s">
        <v>1010</v>
      </c>
      <c r="K21" s="15" t="s">
        <v>1011</v>
      </c>
      <c r="L21" s="15" t="s">
        <v>1043</v>
      </c>
      <c r="M21" s="15" t="s">
        <v>422</v>
      </c>
      <c r="N21" s="15" t="str">
        <f aca="false">IF(M21="","Not built (workbook: do not build)",IFERROR(INDEX(Pages!$F$2:$F$98,MATCH(M21,Pages!$B$2:$B$98,0)),"Not found"))</f>
        <v>How Private Mortgage Investing Works in Canada</v>
      </c>
      <c r="O21" s="15" t="s">
        <v>113</v>
      </c>
      <c r="P21" s="16"/>
      <c r="Q21" s="16"/>
      <c r="R21" s="16"/>
      <c r="S21" s="16"/>
      <c r="T21" s="15"/>
    </row>
    <row r="22" customFormat="false" ht="15" hidden="false" customHeight="false" outlineLevel="0" collapsed="false">
      <c r="A22" s="15" t="s">
        <v>1044</v>
      </c>
      <c r="B22" s="15" t="s">
        <v>1015</v>
      </c>
      <c r="C22" s="15" t="s">
        <v>1042</v>
      </c>
      <c r="D22" s="15" t="s">
        <v>1016</v>
      </c>
      <c r="E22" s="15" t="s">
        <v>1027</v>
      </c>
      <c r="F22" s="15" t="s">
        <v>1009</v>
      </c>
      <c r="G22" s="15" t="n">
        <v>5</v>
      </c>
      <c r="H22" s="15" t="n">
        <v>3</v>
      </c>
      <c r="I22" s="15" t="n">
        <f aca="false">IF(AND(ISNUMBER(G22),ISNUMBER(H22)),G22*2-H22,"")</f>
        <v>7</v>
      </c>
      <c r="J22" s="15" t="s">
        <v>1010</v>
      </c>
      <c r="K22" s="15" t="s">
        <v>1011</v>
      </c>
      <c r="L22" s="15" t="s">
        <v>1043</v>
      </c>
      <c r="M22" s="15" t="s">
        <v>422</v>
      </c>
      <c r="N22" s="15" t="str">
        <f aca="false">IF(M22="","Not built (workbook: do not build)",IFERROR(INDEX(Pages!$F$2:$F$98,MATCH(M22,Pages!$B$2:$B$98,0)),"Not found"))</f>
        <v>How Private Mortgage Investing Works in Canada</v>
      </c>
      <c r="O22" s="15" t="s">
        <v>113</v>
      </c>
      <c r="P22" s="16"/>
      <c r="Q22" s="16"/>
      <c r="R22" s="16"/>
      <c r="S22" s="16"/>
      <c r="T22" s="15"/>
    </row>
    <row r="23" customFormat="false" ht="15" hidden="false" customHeight="false" outlineLevel="0" collapsed="false">
      <c r="A23" s="15" t="s">
        <v>1045</v>
      </c>
      <c r="B23" s="15" t="s">
        <v>1022</v>
      </c>
      <c r="C23" s="15" t="s">
        <v>1042</v>
      </c>
      <c r="D23" s="15" t="s">
        <v>1016</v>
      </c>
      <c r="E23" s="15" t="s">
        <v>1027</v>
      </c>
      <c r="F23" s="15" t="s">
        <v>1009</v>
      </c>
      <c r="G23" s="15" t="n">
        <v>5</v>
      </c>
      <c r="H23" s="15" t="n">
        <v>3</v>
      </c>
      <c r="I23" s="15" t="n">
        <f aca="false">IF(AND(ISNUMBER(G23),ISNUMBER(H23)),G23*2-H23,"")</f>
        <v>7</v>
      </c>
      <c r="J23" s="15" t="s">
        <v>1010</v>
      </c>
      <c r="K23" s="15" t="s">
        <v>1011</v>
      </c>
      <c r="L23" s="15" t="s">
        <v>1043</v>
      </c>
      <c r="M23" s="15" t="s">
        <v>422</v>
      </c>
      <c r="N23" s="15" t="str">
        <f aca="false">IF(M23="","Not built (workbook: do not build)",IFERROR(INDEX(Pages!$F$2:$F$98,MATCH(M23,Pages!$B$2:$B$98,0)),"Not found"))</f>
        <v>How Private Mortgage Investing Works in Canada</v>
      </c>
      <c r="O23" s="15" t="s">
        <v>113</v>
      </c>
      <c r="P23" s="16"/>
      <c r="Q23" s="16"/>
      <c r="R23" s="16"/>
      <c r="S23" s="16"/>
      <c r="T23" s="15"/>
    </row>
    <row r="24" customFormat="false" ht="15" hidden="false" customHeight="false" outlineLevel="0" collapsed="false">
      <c r="A24" s="15" t="s">
        <v>1046</v>
      </c>
      <c r="B24" s="15" t="s">
        <v>1022</v>
      </c>
      <c r="C24" s="15" t="s">
        <v>1042</v>
      </c>
      <c r="D24" s="15" t="s">
        <v>1016</v>
      </c>
      <c r="E24" s="15" t="s">
        <v>1023</v>
      </c>
      <c r="F24" s="15" t="s">
        <v>1009</v>
      </c>
      <c r="G24" s="15" t="n">
        <v>5</v>
      </c>
      <c r="H24" s="15" t="n">
        <v>2</v>
      </c>
      <c r="I24" s="15" t="n">
        <f aca="false">IF(AND(ISNUMBER(G24),ISNUMBER(H24)),G24*2-H24,"")</f>
        <v>8</v>
      </c>
      <c r="J24" s="15" t="s">
        <v>1047</v>
      </c>
      <c r="K24" s="15" t="s">
        <v>1011</v>
      </c>
      <c r="L24" s="15" t="s">
        <v>1048</v>
      </c>
      <c r="M24" s="15" t="s">
        <v>422</v>
      </c>
      <c r="N24" s="15" t="str">
        <f aca="false">IF(M24="","Not built (workbook: do not build)",IFERROR(INDEX(Pages!$F$2:$F$98,MATCH(M24,Pages!$B$2:$B$98,0)),"Not found"))</f>
        <v>How Private Mortgage Investing Works in Canada</v>
      </c>
      <c r="O24" s="15" t="s">
        <v>113</v>
      </c>
      <c r="P24" s="16"/>
      <c r="Q24" s="16"/>
      <c r="R24" s="16"/>
      <c r="S24" s="16"/>
      <c r="T24" s="15"/>
    </row>
    <row r="25" customFormat="false" ht="15" hidden="false" customHeight="false" outlineLevel="0" collapsed="false">
      <c r="A25" s="15" t="s">
        <v>1049</v>
      </c>
      <c r="B25" s="15" t="s">
        <v>1015</v>
      </c>
      <c r="C25" s="15" t="s">
        <v>1042</v>
      </c>
      <c r="D25" s="15" t="s">
        <v>1016</v>
      </c>
      <c r="E25" s="15" t="s">
        <v>1027</v>
      </c>
      <c r="F25" s="15" t="s">
        <v>1009</v>
      </c>
      <c r="G25" s="15" t="n">
        <v>4</v>
      </c>
      <c r="H25" s="15" t="n">
        <v>4</v>
      </c>
      <c r="I25" s="15" t="n">
        <f aca="false">IF(AND(ISNUMBER(G25),ISNUMBER(H25)),G25*2-H25,"")</f>
        <v>4</v>
      </c>
      <c r="J25" s="15" t="s">
        <v>1019</v>
      </c>
      <c r="K25" s="15" t="s">
        <v>1020</v>
      </c>
      <c r="L25" s="15" t="s">
        <v>1043</v>
      </c>
      <c r="M25" s="15" t="s">
        <v>422</v>
      </c>
      <c r="N25" s="15" t="str">
        <f aca="false">IF(M25="","Not built (workbook: do not build)",IFERROR(INDEX(Pages!$F$2:$F$98,MATCH(M25,Pages!$B$2:$B$98,0)),"Not found"))</f>
        <v>How Private Mortgage Investing Works in Canada</v>
      </c>
      <c r="O25" s="15" t="s">
        <v>113</v>
      </c>
      <c r="P25" s="16"/>
      <c r="Q25" s="16"/>
      <c r="R25" s="16"/>
      <c r="S25" s="16"/>
      <c r="T25" s="15"/>
    </row>
    <row r="26" customFormat="false" ht="23.85" hidden="false" customHeight="false" outlineLevel="0" collapsed="false">
      <c r="A26" s="15" t="s">
        <v>1050</v>
      </c>
      <c r="B26" s="15" t="s">
        <v>1022</v>
      </c>
      <c r="C26" s="15" t="s">
        <v>1042</v>
      </c>
      <c r="D26" s="15" t="s">
        <v>1051</v>
      </c>
      <c r="E26" s="15" t="s">
        <v>1023</v>
      </c>
      <c r="F26" s="15" t="s">
        <v>1009</v>
      </c>
      <c r="G26" s="15" t="n">
        <v>5</v>
      </c>
      <c r="H26" s="15" t="n">
        <v>2</v>
      </c>
      <c r="I26" s="15" t="n">
        <f aca="false">IF(AND(ISNUMBER(G26),ISNUMBER(H26)),G26*2-H26,"")</f>
        <v>8</v>
      </c>
      <c r="J26" s="15" t="s">
        <v>1047</v>
      </c>
      <c r="K26" s="15" t="s">
        <v>1011</v>
      </c>
      <c r="L26" s="15" t="s">
        <v>1052</v>
      </c>
      <c r="M26" s="15" t="s">
        <v>322</v>
      </c>
      <c r="N26" s="15" t="str">
        <f aca="false">IF(M26="","Not built (workbook: do not build)",IFERROR(INDEX(Pages!$F$2:$F$98,MATCH(M26,Pages!$B$2:$B$98,0)),"Not found"))</f>
        <v>Direct Mortgage Investing: Holding the Charge Yourself</v>
      </c>
      <c r="O26" s="15" t="s">
        <v>113</v>
      </c>
      <c r="P26" s="16"/>
      <c r="Q26" s="16"/>
      <c r="R26" s="16"/>
      <c r="S26" s="16"/>
      <c r="T26" s="15"/>
    </row>
    <row r="27" customFormat="false" ht="15" hidden="false" customHeight="false" outlineLevel="0" collapsed="false">
      <c r="A27" s="15" t="s">
        <v>1053</v>
      </c>
      <c r="B27" s="15" t="s">
        <v>1054</v>
      </c>
      <c r="C27" s="15" t="s">
        <v>1042</v>
      </c>
      <c r="D27" s="15" t="s">
        <v>1016</v>
      </c>
      <c r="E27" s="15" t="s">
        <v>1023</v>
      </c>
      <c r="F27" s="15" t="s">
        <v>1009</v>
      </c>
      <c r="G27" s="15" t="n">
        <v>5</v>
      </c>
      <c r="H27" s="15" t="n">
        <v>2</v>
      </c>
      <c r="I27" s="15" t="n">
        <f aca="false">IF(AND(ISNUMBER(G27),ISNUMBER(H27)),G27*2-H27,"")</f>
        <v>8</v>
      </c>
      <c r="J27" s="15" t="s">
        <v>1047</v>
      </c>
      <c r="K27" s="15" t="s">
        <v>1011</v>
      </c>
      <c r="L27" s="15" t="s">
        <v>1052</v>
      </c>
      <c r="M27" s="15" t="s">
        <v>322</v>
      </c>
      <c r="N27" s="15" t="str">
        <f aca="false">IF(M27="","Not built (workbook: do not build)",IFERROR(INDEX(Pages!$F$2:$F$98,MATCH(M27,Pages!$B$2:$B$98,0)),"Not found"))</f>
        <v>Direct Mortgage Investing: Holding the Charge Yourself</v>
      </c>
      <c r="O27" s="15" t="s">
        <v>113</v>
      </c>
      <c r="P27" s="16"/>
      <c r="Q27" s="16"/>
      <c r="R27" s="16"/>
      <c r="S27" s="16"/>
      <c r="T27" s="15"/>
    </row>
    <row r="28" customFormat="false" ht="15" hidden="false" customHeight="false" outlineLevel="0" collapsed="false">
      <c r="A28" s="15" t="s">
        <v>1055</v>
      </c>
      <c r="B28" s="15" t="s">
        <v>1022</v>
      </c>
      <c r="C28" s="15" t="s">
        <v>1042</v>
      </c>
      <c r="D28" s="15" t="s">
        <v>350</v>
      </c>
      <c r="E28" s="15" t="s">
        <v>1027</v>
      </c>
      <c r="F28" s="15" t="s">
        <v>1009</v>
      </c>
      <c r="G28" s="15" t="n">
        <v>3</v>
      </c>
      <c r="H28" s="15" t="n">
        <v>2</v>
      </c>
      <c r="I28" s="15" t="n">
        <f aca="false">IF(AND(ISNUMBER(G28),ISNUMBER(H28)),G28*2-H28,"")</f>
        <v>4</v>
      </c>
      <c r="J28" s="15" t="s">
        <v>1019</v>
      </c>
      <c r="K28" s="15" t="s">
        <v>1020</v>
      </c>
      <c r="L28" s="15" t="s">
        <v>1043</v>
      </c>
      <c r="M28" s="15" t="s">
        <v>422</v>
      </c>
      <c r="N28" s="15" t="str">
        <f aca="false">IF(M28="","Not built (workbook: do not build)",IFERROR(INDEX(Pages!$F$2:$F$98,MATCH(M28,Pages!$B$2:$B$98,0)),"Not found"))</f>
        <v>How Private Mortgage Investing Works in Canada</v>
      </c>
      <c r="O28" s="15" t="s">
        <v>113</v>
      </c>
      <c r="P28" s="16"/>
      <c r="Q28" s="16"/>
      <c r="R28" s="16"/>
      <c r="S28" s="16"/>
      <c r="T28" s="15"/>
    </row>
    <row r="29" customFormat="false" ht="15" hidden="false" customHeight="false" outlineLevel="0" collapsed="false">
      <c r="A29" s="15" t="s">
        <v>1056</v>
      </c>
      <c r="B29" s="15" t="s">
        <v>1015</v>
      </c>
      <c r="C29" s="15" t="s">
        <v>1042</v>
      </c>
      <c r="D29" s="15" t="s">
        <v>1057</v>
      </c>
      <c r="E29" s="15" t="s">
        <v>1058</v>
      </c>
      <c r="F29" s="15" t="s">
        <v>1009</v>
      </c>
      <c r="G29" s="15" t="n">
        <v>5</v>
      </c>
      <c r="H29" s="15" t="n">
        <v>2</v>
      </c>
      <c r="I29" s="15" t="n">
        <f aca="false">IF(AND(ISNUMBER(G29),ISNUMBER(H29)),G29*2-H29,"")</f>
        <v>8</v>
      </c>
      <c r="J29" s="15" t="s">
        <v>1047</v>
      </c>
      <c r="K29" s="15" t="s">
        <v>1011</v>
      </c>
      <c r="L29" s="15" t="s">
        <v>1059</v>
      </c>
      <c r="M29" s="15" t="s">
        <v>522</v>
      </c>
      <c r="N29" s="15" t="str">
        <f aca="false">IF(M29="","Not built (workbook: do not build)",IFERROR(INDEX(Pages!$F$2:$F$98,MATCH(M29,Pages!$B$2:$B$98,0)),"Not found"))</f>
        <v>Monthly Income Investments in Canada: Mortgage Cash Flow</v>
      </c>
      <c r="O29" s="15" t="s">
        <v>113</v>
      </c>
      <c r="P29" s="16"/>
      <c r="Q29" s="16"/>
      <c r="R29" s="16"/>
      <c r="S29" s="16"/>
      <c r="T29" s="15"/>
    </row>
    <row r="30" customFormat="false" ht="15" hidden="false" customHeight="false" outlineLevel="0" collapsed="false">
      <c r="A30" s="15" t="s">
        <v>1060</v>
      </c>
      <c r="B30" s="15" t="s">
        <v>1015</v>
      </c>
      <c r="C30" s="15" t="s">
        <v>1042</v>
      </c>
      <c r="D30" s="15" t="s">
        <v>1016</v>
      </c>
      <c r="E30" s="15" t="s">
        <v>1058</v>
      </c>
      <c r="F30" s="15" t="s">
        <v>1009</v>
      </c>
      <c r="G30" s="15" t="n">
        <v>4</v>
      </c>
      <c r="H30" s="15" t="n">
        <v>1</v>
      </c>
      <c r="I30" s="15" t="n">
        <f aca="false">IF(AND(ISNUMBER(G30),ISNUMBER(H30)),G30*2-H30,"")</f>
        <v>7</v>
      </c>
      <c r="J30" s="15" t="s">
        <v>1010</v>
      </c>
      <c r="K30" s="15" t="s">
        <v>1011</v>
      </c>
      <c r="L30" s="15" t="s">
        <v>1061</v>
      </c>
      <c r="M30" s="15" t="s">
        <v>322</v>
      </c>
      <c r="N30" s="15" t="str">
        <f aca="false">IF(M30="","Not built (workbook: do not build)",IFERROR(INDEX(Pages!$F$2:$F$98,MATCH(M30,Pages!$B$2:$B$98,0)),"Not found"))</f>
        <v>Direct Mortgage Investing: Holding the Charge Yourself</v>
      </c>
      <c r="O30" s="15" t="s">
        <v>113</v>
      </c>
      <c r="P30" s="16"/>
      <c r="Q30" s="16"/>
      <c r="R30" s="16"/>
      <c r="S30" s="16"/>
      <c r="T30" s="15"/>
    </row>
    <row r="31" customFormat="false" ht="15" hidden="false" customHeight="false" outlineLevel="0" collapsed="false">
      <c r="A31" s="15" t="s">
        <v>326</v>
      </c>
      <c r="B31" s="15" t="s">
        <v>1015</v>
      </c>
      <c r="C31" s="15" t="s">
        <v>1042</v>
      </c>
      <c r="D31" s="15" t="s">
        <v>1016</v>
      </c>
      <c r="E31" s="15" t="s">
        <v>1058</v>
      </c>
      <c r="F31" s="15" t="s">
        <v>1009</v>
      </c>
      <c r="G31" s="15" t="n">
        <v>4</v>
      </c>
      <c r="H31" s="15" t="n">
        <v>2</v>
      </c>
      <c r="I31" s="15" t="n">
        <f aca="false">IF(AND(ISNUMBER(G31),ISNUMBER(H31)),G31*2-H31,"")</f>
        <v>6</v>
      </c>
      <c r="J31" s="15" t="s">
        <v>1010</v>
      </c>
      <c r="K31" s="15" t="s">
        <v>1011</v>
      </c>
      <c r="L31" s="15" t="s">
        <v>1061</v>
      </c>
      <c r="M31" s="15" t="s">
        <v>322</v>
      </c>
      <c r="N31" s="15" t="str">
        <f aca="false">IF(M31="","Not built (workbook: do not build)",IFERROR(INDEX(Pages!$F$2:$F$98,MATCH(M31,Pages!$B$2:$B$98,0)),"Not found"))</f>
        <v>Direct Mortgage Investing: Holding the Charge Yourself</v>
      </c>
      <c r="O31" s="15" t="s">
        <v>113</v>
      </c>
      <c r="P31" s="16"/>
      <c r="Q31" s="16"/>
      <c r="R31" s="16"/>
      <c r="S31" s="16"/>
      <c r="T31" s="15"/>
    </row>
    <row r="32" customFormat="false" ht="15" hidden="false" customHeight="false" outlineLevel="0" collapsed="false">
      <c r="A32" s="15" t="s">
        <v>372</v>
      </c>
      <c r="B32" s="15" t="s">
        <v>1015</v>
      </c>
      <c r="C32" s="15" t="s">
        <v>1042</v>
      </c>
      <c r="D32" s="15" t="s">
        <v>1016</v>
      </c>
      <c r="E32" s="15" t="s">
        <v>1027</v>
      </c>
      <c r="F32" s="15" t="s">
        <v>1009</v>
      </c>
      <c r="G32" s="15" t="n">
        <v>4</v>
      </c>
      <c r="H32" s="15" t="n">
        <v>2</v>
      </c>
      <c r="I32" s="15" t="n">
        <f aca="false">IF(AND(ISNUMBER(G32),ISNUMBER(H32)),G32*2-H32,"")</f>
        <v>6</v>
      </c>
      <c r="J32" s="15" t="s">
        <v>1010</v>
      </c>
      <c r="K32" s="15" t="s">
        <v>1011</v>
      </c>
      <c r="L32" s="15" t="s">
        <v>1062</v>
      </c>
      <c r="M32" s="15" t="s">
        <v>368</v>
      </c>
      <c r="N32" s="15" t="str">
        <f aca="false">IF(M32="","Not built (workbook: do not build)",IFERROR(INDEX(Pages!$F$2:$F$98,MATCH(M32,Pages!$B$2:$B$98,0)),"Not found"))</f>
        <v>Fractional Mortgage Investing and Syndicated Mortgages</v>
      </c>
      <c r="O32" s="15" t="s">
        <v>113</v>
      </c>
      <c r="P32" s="16"/>
      <c r="Q32" s="16"/>
      <c r="R32" s="16"/>
      <c r="S32" s="16"/>
      <c r="T32" s="15"/>
    </row>
    <row r="33" customFormat="false" ht="15" hidden="false" customHeight="false" outlineLevel="0" collapsed="false">
      <c r="A33" s="15" t="s">
        <v>1063</v>
      </c>
      <c r="B33" s="15" t="s">
        <v>1022</v>
      </c>
      <c r="C33" s="15" t="s">
        <v>1042</v>
      </c>
      <c r="D33" s="15" t="s">
        <v>1016</v>
      </c>
      <c r="E33" s="15" t="s">
        <v>1058</v>
      </c>
      <c r="F33" s="15" t="s">
        <v>1009</v>
      </c>
      <c r="G33" s="15" t="n">
        <v>3</v>
      </c>
      <c r="H33" s="15" t="n">
        <v>1</v>
      </c>
      <c r="I33" s="15" t="n">
        <f aca="false">IF(AND(ISNUMBER(G33),ISNUMBER(H33)),G33*2-H33,"")</f>
        <v>5</v>
      </c>
      <c r="J33" s="15" t="s">
        <v>1019</v>
      </c>
      <c r="K33" s="15" t="s">
        <v>1020</v>
      </c>
      <c r="L33" s="15" t="s">
        <v>1062</v>
      </c>
      <c r="M33" s="15" t="s">
        <v>322</v>
      </c>
      <c r="N33" s="15" t="str">
        <f aca="false">IF(M33="","Not built (workbook: do not build)",IFERROR(INDEX(Pages!$F$2:$F$98,MATCH(M33,Pages!$B$2:$B$98,0)),"Not found"))</f>
        <v>Direct Mortgage Investing: Holding the Charge Yourself</v>
      </c>
      <c r="O33" s="15" t="s">
        <v>113</v>
      </c>
      <c r="P33" s="16"/>
      <c r="Q33" s="16"/>
      <c r="R33" s="16"/>
      <c r="S33" s="16"/>
      <c r="T33" s="15"/>
    </row>
    <row r="34" customFormat="false" ht="15" hidden="false" customHeight="false" outlineLevel="0" collapsed="false">
      <c r="A34" s="15" t="s">
        <v>1064</v>
      </c>
      <c r="B34" s="15" t="s">
        <v>1022</v>
      </c>
      <c r="C34" s="15" t="s">
        <v>1042</v>
      </c>
      <c r="D34" s="15" t="s">
        <v>1065</v>
      </c>
      <c r="E34" s="15" t="s">
        <v>1058</v>
      </c>
      <c r="F34" s="15" t="s">
        <v>1009</v>
      </c>
      <c r="G34" s="15" t="n">
        <v>4</v>
      </c>
      <c r="H34" s="15" t="n">
        <v>1</v>
      </c>
      <c r="I34" s="15" t="n">
        <f aca="false">IF(AND(ISNUMBER(G34),ISNUMBER(H34)),G34*2-H34,"")</f>
        <v>7</v>
      </c>
      <c r="J34" s="15" t="s">
        <v>1010</v>
      </c>
      <c r="K34" s="15" t="s">
        <v>1011</v>
      </c>
      <c r="L34" s="15" t="s">
        <v>1066</v>
      </c>
      <c r="M34" s="15" t="s">
        <v>322</v>
      </c>
      <c r="N34" s="15" t="str">
        <f aca="false">IF(M34="","Not built (workbook: do not build)",IFERROR(INDEX(Pages!$F$2:$F$98,MATCH(M34,Pages!$B$2:$B$98,0)),"Not found"))</f>
        <v>Direct Mortgage Investing: Holding the Charge Yourself</v>
      </c>
      <c r="O34" s="15" t="s">
        <v>113</v>
      </c>
      <c r="P34" s="16"/>
      <c r="Q34" s="16"/>
      <c r="R34" s="16"/>
      <c r="S34" s="16"/>
      <c r="T34" s="15"/>
    </row>
    <row r="35" customFormat="false" ht="15" hidden="false" customHeight="false" outlineLevel="0" collapsed="false">
      <c r="A35" s="15" t="s">
        <v>1067</v>
      </c>
      <c r="B35" s="15" t="s">
        <v>1022</v>
      </c>
      <c r="C35" s="15" t="s">
        <v>1042</v>
      </c>
      <c r="D35" s="15" t="s">
        <v>1065</v>
      </c>
      <c r="E35" s="15" t="s">
        <v>1058</v>
      </c>
      <c r="F35" s="15" t="s">
        <v>1009</v>
      </c>
      <c r="G35" s="15" t="n">
        <v>4</v>
      </c>
      <c r="H35" s="15" t="n">
        <v>1</v>
      </c>
      <c r="I35" s="15" t="n">
        <f aca="false">IF(AND(ISNUMBER(G35),ISNUMBER(H35)),G35*2-H35,"")</f>
        <v>7</v>
      </c>
      <c r="J35" s="15" t="s">
        <v>1010</v>
      </c>
      <c r="K35" s="15" t="s">
        <v>1011</v>
      </c>
      <c r="L35" s="15" t="s">
        <v>1066</v>
      </c>
      <c r="M35" s="15" t="s">
        <v>819</v>
      </c>
      <c r="N35" s="15" t="str">
        <f aca="false">IF(M35="","Not built (workbook: do not build)",IFERROR(INDEX(Pages!$F$2:$F$98,MATCH(M35,Pages!$B$2:$B$98,0)),"Not found"))</f>
        <v>Prohibited Investment Rules: RRSPs, Mortgages and MICs</v>
      </c>
      <c r="O35" s="15" t="s">
        <v>113</v>
      </c>
      <c r="P35" s="16"/>
      <c r="Q35" s="16"/>
      <c r="R35" s="16"/>
      <c r="S35" s="16"/>
      <c r="T35" s="15"/>
    </row>
    <row r="36" customFormat="false" ht="23.85" hidden="false" customHeight="false" outlineLevel="0" collapsed="false">
      <c r="A36" s="15" t="s">
        <v>1068</v>
      </c>
      <c r="B36" s="15" t="s">
        <v>1022</v>
      </c>
      <c r="C36" s="15" t="s">
        <v>1042</v>
      </c>
      <c r="D36" s="15" t="s">
        <v>1051</v>
      </c>
      <c r="E36" s="15" t="s">
        <v>1058</v>
      </c>
      <c r="F36" s="15" t="s">
        <v>1009</v>
      </c>
      <c r="G36" s="15" t="n">
        <v>4</v>
      </c>
      <c r="H36" s="15" t="n">
        <v>2</v>
      </c>
      <c r="I36" s="15" t="n">
        <f aca="false">IF(AND(ISNUMBER(G36),ISNUMBER(H36)),G36*2-H36,"")</f>
        <v>6</v>
      </c>
      <c r="J36" s="15" t="s">
        <v>1010</v>
      </c>
      <c r="K36" s="15" t="s">
        <v>1011</v>
      </c>
      <c r="L36" s="15" t="s">
        <v>1066</v>
      </c>
      <c r="M36" s="15" t="s">
        <v>881</v>
      </c>
      <c r="N36" s="15" t="str">
        <f aca="false">IF(M36="","Not built (workbook: do not build)",IFERROR(INDEX(Pages!$F$2:$F$98,MATCH(M36,Pages!$B$2:$B$98,0)),"Not found"))</f>
        <v>RRSP Mortgage Investment Rules in Canada (TFSA, RRIF)</v>
      </c>
      <c r="O36" s="15" t="s">
        <v>113</v>
      </c>
      <c r="P36" s="16"/>
      <c r="Q36" s="16"/>
      <c r="R36" s="16"/>
      <c r="S36" s="16"/>
      <c r="T36" s="15"/>
    </row>
    <row r="37" customFormat="false" ht="15" hidden="false" customHeight="false" outlineLevel="0" collapsed="false">
      <c r="A37" s="15" t="s">
        <v>1069</v>
      </c>
      <c r="B37" s="15" t="s">
        <v>1022</v>
      </c>
      <c r="C37" s="15" t="s">
        <v>1042</v>
      </c>
      <c r="D37" s="15" t="s">
        <v>350</v>
      </c>
      <c r="E37" s="15" t="s">
        <v>1058</v>
      </c>
      <c r="F37" s="15" t="s">
        <v>1009</v>
      </c>
      <c r="G37" s="15" t="n">
        <v>4</v>
      </c>
      <c r="H37" s="15" t="n">
        <v>2</v>
      </c>
      <c r="I37" s="15" t="n">
        <f aca="false">IF(AND(ISNUMBER(G37),ISNUMBER(H37)),G37*2-H37,"")</f>
        <v>6</v>
      </c>
      <c r="J37" s="15" t="s">
        <v>1010</v>
      </c>
      <c r="K37" s="15" t="s">
        <v>1011</v>
      </c>
      <c r="L37" s="15" t="s">
        <v>1070</v>
      </c>
      <c r="M37" s="15" t="s">
        <v>468</v>
      </c>
      <c r="N37" s="15" t="str">
        <f aca="false">IF(M37="","Not built (workbook: do not build)",IFERROR(INDEX(Pages!$F$2:$F$98,MATCH(M37,Pages!$B$2:$B$98,0)),"Not found"))</f>
        <v>MIC Minimum Investment: What It Takes to Start</v>
      </c>
      <c r="O37" s="15" t="s">
        <v>113</v>
      </c>
      <c r="P37" s="16"/>
      <c r="Q37" s="16"/>
      <c r="R37" s="16"/>
      <c r="S37" s="16"/>
      <c r="T37" s="15"/>
    </row>
    <row r="38" customFormat="false" ht="15" hidden="false" customHeight="false" outlineLevel="0" collapsed="false">
      <c r="A38" s="15" t="s">
        <v>1071</v>
      </c>
      <c r="B38" s="15" t="s">
        <v>1005</v>
      </c>
      <c r="C38" s="15" t="s">
        <v>1072</v>
      </c>
      <c r="D38" s="15" t="s">
        <v>1016</v>
      </c>
      <c r="E38" s="15" t="s">
        <v>1027</v>
      </c>
      <c r="F38" s="15" t="s">
        <v>1009</v>
      </c>
      <c r="G38" s="15" t="n">
        <v>5</v>
      </c>
      <c r="H38" s="15" t="n">
        <v>4</v>
      </c>
      <c r="I38" s="15" t="n">
        <f aca="false">IF(AND(ISNUMBER(G38),ISNUMBER(H38)),G38*2-H38,"")</f>
        <v>6</v>
      </c>
      <c r="J38" s="15" t="s">
        <v>1010</v>
      </c>
      <c r="K38" s="15" t="s">
        <v>1011</v>
      </c>
      <c r="L38" s="15" t="s">
        <v>1073</v>
      </c>
      <c r="M38" s="15" t="s">
        <v>926</v>
      </c>
      <c r="N38" s="15" t="str">
        <f aca="false">IF(M38="","Not built (workbook: do not build)",IFERROR(INDEX(Pages!$F$2:$F$98,MATCH(M38,Pages!$B$2:$B$98,0)),"Not found"))</f>
        <v>What Is a Mortgage Investment Corporation (MIC)?</v>
      </c>
      <c r="O38" s="15" t="s">
        <v>113</v>
      </c>
      <c r="P38" s="16"/>
      <c r="Q38" s="16"/>
      <c r="R38" s="16"/>
      <c r="S38" s="16"/>
      <c r="T38" s="15"/>
    </row>
    <row r="39" customFormat="false" ht="15" hidden="false" customHeight="false" outlineLevel="0" collapsed="false">
      <c r="A39" s="15" t="s">
        <v>107</v>
      </c>
      <c r="B39" s="15" t="s">
        <v>1005</v>
      </c>
      <c r="C39" s="15" t="s">
        <v>1072</v>
      </c>
      <c r="D39" s="15" t="s">
        <v>1016</v>
      </c>
      <c r="E39" s="15" t="s">
        <v>1027</v>
      </c>
      <c r="F39" s="15" t="s">
        <v>1009</v>
      </c>
      <c r="G39" s="15" t="n">
        <v>5</v>
      </c>
      <c r="H39" s="15" t="n">
        <v>4</v>
      </c>
      <c r="I39" s="15" t="n">
        <f aca="false">IF(AND(ISNUMBER(G39),ISNUMBER(H39)),G39*2-H39,"")</f>
        <v>6</v>
      </c>
      <c r="J39" s="15" t="s">
        <v>1010</v>
      </c>
      <c r="K39" s="15" t="s">
        <v>1011</v>
      </c>
      <c r="L39" s="15" t="s">
        <v>1073</v>
      </c>
      <c r="M39" s="15" t="s">
        <v>926</v>
      </c>
      <c r="N39" s="15" t="str">
        <f aca="false">IF(M39="","Not built (workbook: do not build)",IFERROR(INDEX(Pages!$F$2:$F$98,MATCH(M39,Pages!$B$2:$B$98,0)),"Not found"))</f>
        <v>What Is a Mortgage Investment Corporation (MIC)?</v>
      </c>
      <c r="O39" s="15" t="s">
        <v>113</v>
      </c>
      <c r="P39" s="16"/>
      <c r="Q39" s="16"/>
      <c r="R39" s="16"/>
      <c r="S39" s="16"/>
      <c r="T39" s="15"/>
    </row>
    <row r="40" customFormat="false" ht="15" hidden="false" customHeight="false" outlineLevel="0" collapsed="false">
      <c r="A40" s="15" t="s">
        <v>1074</v>
      </c>
      <c r="B40" s="15" t="s">
        <v>1022</v>
      </c>
      <c r="C40" s="15" t="s">
        <v>1072</v>
      </c>
      <c r="D40" s="15" t="s">
        <v>1007</v>
      </c>
      <c r="E40" s="15" t="s">
        <v>1008</v>
      </c>
      <c r="F40" s="15" t="s">
        <v>1009</v>
      </c>
      <c r="G40" s="15" t="n">
        <v>5</v>
      </c>
      <c r="H40" s="15" t="n">
        <v>5</v>
      </c>
      <c r="I40" s="15" t="n">
        <f aca="false">IF(AND(ISNUMBER(G40),ISNUMBER(H40)),G40*2-H40,"")</f>
        <v>5</v>
      </c>
      <c r="J40" s="15" t="s">
        <v>1019</v>
      </c>
      <c r="K40" s="15" t="s">
        <v>1011</v>
      </c>
      <c r="L40" s="15" t="s">
        <v>1073</v>
      </c>
      <c r="M40" s="15" t="s">
        <v>172</v>
      </c>
      <c r="N40" s="15" t="str">
        <f aca="false">IF(M40="","Not built (workbook: do not build)",IFERROR(INDEX(Pages!$F$2:$F$98,MATCH(M40,Pages!$B$2:$B$98,0)),"Not found"))</f>
        <v>Mortgage Investment FAQ Canada: 60 Investor Questions</v>
      </c>
      <c r="O40" s="15" t="s">
        <v>113</v>
      </c>
      <c r="P40" s="16"/>
      <c r="Q40" s="16"/>
      <c r="R40" s="16"/>
      <c r="S40" s="16"/>
      <c r="T40" s="15"/>
    </row>
    <row r="41" customFormat="false" ht="15" hidden="false" customHeight="false" outlineLevel="0" collapsed="false">
      <c r="A41" s="15" t="s">
        <v>929</v>
      </c>
      <c r="B41" s="15" t="s">
        <v>1054</v>
      </c>
      <c r="C41" s="15" t="s">
        <v>1072</v>
      </c>
      <c r="D41" s="15" t="s">
        <v>1007</v>
      </c>
      <c r="E41" s="15" t="s">
        <v>1008</v>
      </c>
      <c r="F41" s="15" t="s">
        <v>1009</v>
      </c>
      <c r="G41" s="15" t="n">
        <v>5</v>
      </c>
      <c r="H41" s="15" t="n">
        <v>5</v>
      </c>
      <c r="I41" s="15" t="n">
        <f aca="false">IF(AND(ISNUMBER(G41),ISNUMBER(H41)),G41*2-H41,"")</f>
        <v>5</v>
      </c>
      <c r="J41" s="15" t="s">
        <v>1019</v>
      </c>
      <c r="K41" s="15" t="s">
        <v>1011</v>
      </c>
      <c r="L41" s="15" t="s">
        <v>1073</v>
      </c>
      <c r="M41" s="15" t="s">
        <v>926</v>
      </c>
      <c r="N41" s="15" t="str">
        <f aca="false">IF(M41="","Not built (workbook: do not build)",IFERROR(INDEX(Pages!$F$2:$F$98,MATCH(M41,Pages!$B$2:$B$98,0)),"Not found"))</f>
        <v>What Is a Mortgage Investment Corporation (MIC)?</v>
      </c>
      <c r="O41" s="15" t="s">
        <v>113</v>
      </c>
      <c r="P41" s="16"/>
      <c r="Q41" s="16"/>
      <c r="R41" s="16"/>
      <c r="S41" s="16"/>
      <c r="T41" s="15"/>
    </row>
    <row r="42" customFormat="false" ht="15" hidden="false" customHeight="false" outlineLevel="0" collapsed="false">
      <c r="A42" s="15" t="s">
        <v>1075</v>
      </c>
      <c r="B42" s="15" t="s">
        <v>1015</v>
      </c>
      <c r="C42" s="15" t="s">
        <v>1072</v>
      </c>
      <c r="D42" s="15" t="s">
        <v>1016</v>
      </c>
      <c r="E42" s="15" t="s">
        <v>1027</v>
      </c>
      <c r="F42" s="15" t="s">
        <v>1009</v>
      </c>
      <c r="G42" s="15" t="n">
        <v>5</v>
      </c>
      <c r="H42" s="15" t="n">
        <v>4</v>
      </c>
      <c r="I42" s="15" t="n">
        <f aca="false">IF(AND(ISNUMBER(G42),ISNUMBER(H42)),G42*2-H42,"")</f>
        <v>6</v>
      </c>
      <c r="J42" s="15" t="s">
        <v>1010</v>
      </c>
      <c r="K42" s="15" t="s">
        <v>1011</v>
      </c>
      <c r="L42" s="15" t="s">
        <v>1073</v>
      </c>
      <c r="M42" s="15" t="s">
        <v>100</v>
      </c>
      <c r="N42" s="15" t="str">
        <f aca="false">IF(M42="","Not built (workbook: do not build)",IFERROR(INDEX(Pages!$F$2:$F$98,MATCH(M42,Pages!$B$2:$B$98,0)),"Not found"))</f>
        <v>MIC Investment in Canada | Lendmax Capital MIC</v>
      </c>
      <c r="O42" s="15" t="s">
        <v>113</v>
      </c>
      <c r="P42" s="16"/>
      <c r="Q42" s="16"/>
      <c r="R42" s="16"/>
      <c r="S42" s="16"/>
      <c r="T42" s="15"/>
    </row>
    <row r="43" customFormat="false" ht="15" hidden="false" customHeight="false" outlineLevel="0" collapsed="false">
      <c r="A43" s="15" t="s">
        <v>1076</v>
      </c>
      <c r="B43" s="15" t="s">
        <v>1054</v>
      </c>
      <c r="C43" s="15" t="s">
        <v>1072</v>
      </c>
      <c r="D43" s="15" t="s">
        <v>1016</v>
      </c>
      <c r="E43" s="15" t="s">
        <v>1027</v>
      </c>
      <c r="F43" s="15" t="s">
        <v>1009</v>
      </c>
      <c r="G43" s="15" t="n">
        <v>5</v>
      </c>
      <c r="H43" s="15" t="n">
        <v>4</v>
      </c>
      <c r="I43" s="15" t="n">
        <f aca="false">IF(AND(ISNUMBER(G43),ISNUMBER(H43)),G43*2-H43,"")</f>
        <v>6</v>
      </c>
      <c r="J43" s="15" t="s">
        <v>1010</v>
      </c>
      <c r="K43" s="15" t="s">
        <v>1011</v>
      </c>
      <c r="L43" s="15" t="s">
        <v>1073</v>
      </c>
      <c r="M43" s="15" t="s">
        <v>926</v>
      </c>
      <c r="N43" s="15" t="str">
        <f aca="false">IF(M43="","Not built (workbook: do not build)",IFERROR(INDEX(Pages!$F$2:$F$98,MATCH(M43,Pages!$B$2:$B$98,0)),"Not found"))</f>
        <v>What Is a Mortgage Investment Corporation (MIC)?</v>
      </c>
      <c r="O43" s="15" t="s">
        <v>113</v>
      </c>
      <c r="P43" s="16"/>
      <c r="Q43" s="16"/>
      <c r="R43" s="16"/>
      <c r="S43" s="16"/>
      <c r="T43" s="15"/>
    </row>
    <row r="44" customFormat="false" ht="15" hidden="false" customHeight="false" outlineLevel="0" collapsed="false">
      <c r="A44" s="15" t="s">
        <v>1077</v>
      </c>
      <c r="B44" s="15" t="s">
        <v>1015</v>
      </c>
      <c r="C44" s="15" t="s">
        <v>1072</v>
      </c>
      <c r="D44" s="15" t="s">
        <v>350</v>
      </c>
      <c r="E44" s="15" t="s">
        <v>1058</v>
      </c>
      <c r="F44" s="15" t="s">
        <v>1009</v>
      </c>
      <c r="G44" s="15" t="n">
        <v>5</v>
      </c>
      <c r="H44" s="15" t="n">
        <v>3</v>
      </c>
      <c r="I44" s="15" t="n">
        <f aca="false">IF(AND(ISNUMBER(G44),ISNUMBER(H44)),G44*2-H44,"")</f>
        <v>7</v>
      </c>
      <c r="J44" s="15" t="s">
        <v>1010</v>
      </c>
      <c r="K44" s="15" t="s">
        <v>1011</v>
      </c>
      <c r="L44" s="15" t="s">
        <v>1073</v>
      </c>
      <c r="M44" s="15" t="s">
        <v>100</v>
      </c>
      <c r="N44" s="15" t="str">
        <f aca="false">IF(M44="","Not built (workbook: do not build)",IFERROR(INDEX(Pages!$F$2:$F$98,MATCH(M44,Pages!$B$2:$B$98,0)),"Not found"))</f>
        <v>MIC Investment in Canada | Lendmax Capital MIC</v>
      </c>
      <c r="O44" s="15" t="s">
        <v>113</v>
      </c>
      <c r="P44" s="16"/>
      <c r="Q44" s="16"/>
      <c r="R44" s="16"/>
      <c r="S44" s="16"/>
      <c r="T44" s="15"/>
    </row>
    <row r="45" customFormat="false" ht="15" hidden="false" customHeight="false" outlineLevel="0" collapsed="false">
      <c r="A45" s="15" t="s">
        <v>508</v>
      </c>
      <c r="B45" s="15" t="s">
        <v>1015</v>
      </c>
      <c r="C45" s="15" t="s">
        <v>1072</v>
      </c>
      <c r="D45" s="15" t="s">
        <v>1016</v>
      </c>
      <c r="E45" s="15" t="s">
        <v>1023</v>
      </c>
      <c r="F45" s="15" t="s">
        <v>1009</v>
      </c>
      <c r="G45" s="15" t="n">
        <v>4</v>
      </c>
      <c r="H45" s="15" t="n">
        <v>1</v>
      </c>
      <c r="I45" s="15" t="n">
        <f aca="false">IF(AND(ISNUMBER(G45),ISNUMBER(H45)),G45*2-H45,"")</f>
        <v>7</v>
      </c>
      <c r="J45" s="15" t="s">
        <v>1010</v>
      </c>
      <c r="K45" s="15" t="s">
        <v>1011</v>
      </c>
      <c r="L45" s="15" t="s">
        <v>1078</v>
      </c>
      <c r="M45" s="15" t="s">
        <v>504</v>
      </c>
      <c r="N45" s="15" t="str">
        <f aca="false">IF(M45="","Not built (workbook: do not build)",IFERROR(INDEX(Pages!$F$2:$F$98,MATCH(M45,Pages!$B$2:$B$98,0)),"Not found"))</f>
        <v>Mortgage Investment Entity (MIE) vs MIC | Lendmax Capital MIC</v>
      </c>
      <c r="O45" s="15" t="s">
        <v>113</v>
      </c>
      <c r="P45" s="16"/>
      <c r="Q45" s="16"/>
      <c r="R45" s="16"/>
      <c r="S45" s="16"/>
      <c r="T45" s="15"/>
    </row>
    <row r="46" customFormat="false" ht="15" hidden="false" customHeight="false" outlineLevel="0" collapsed="false">
      <c r="A46" s="15" t="s">
        <v>510</v>
      </c>
      <c r="B46" s="15" t="s">
        <v>1054</v>
      </c>
      <c r="C46" s="15" t="s">
        <v>1072</v>
      </c>
      <c r="D46" s="15" t="s">
        <v>1007</v>
      </c>
      <c r="E46" s="15" t="s">
        <v>1023</v>
      </c>
      <c r="F46" s="15" t="s">
        <v>1009</v>
      </c>
      <c r="G46" s="15" t="n">
        <v>4</v>
      </c>
      <c r="H46" s="15" t="n">
        <v>1</v>
      </c>
      <c r="I46" s="15" t="n">
        <f aca="false">IF(AND(ISNUMBER(G46),ISNUMBER(H46)),G46*2-H46,"")</f>
        <v>7</v>
      </c>
      <c r="J46" s="15" t="s">
        <v>1010</v>
      </c>
      <c r="K46" s="15" t="s">
        <v>1011</v>
      </c>
      <c r="L46" s="15" t="s">
        <v>1078</v>
      </c>
      <c r="M46" s="15" t="s">
        <v>504</v>
      </c>
      <c r="N46" s="15" t="str">
        <f aca="false">IF(M46="","Not built (workbook: do not build)",IFERROR(INDEX(Pages!$F$2:$F$98,MATCH(M46,Pages!$B$2:$B$98,0)),"Not found"))</f>
        <v>Mortgage Investment Entity (MIE) vs MIC | Lendmax Capital MIC</v>
      </c>
      <c r="O46" s="15" t="s">
        <v>113</v>
      </c>
      <c r="P46" s="16"/>
      <c r="Q46" s="16"/>
      <c r="R46" s="16"/>
      <c r="S46" s="16"/>
      <c r="T46" s="15"/>
    </row>
    <row r="47" customFormat="false" ht="15" hidden="false" customHeight="false" outlineLevel="0" collapsed="false">
      <c r="A47" s="15" t="s">
        <v>1079</v>
      </c>
      <c r="B47" s="15" t="s">
        <v>1022</v>
      </c>
      <c r="C47" s="15" t="s">
        <v>1072</v>
      </c>
      <c r="D47" s="15" t="s">
        <v>350</v>
      </c>
      <c r="E47" s="15" t="s">
        <v>1023</v>
      </c>
      <c r="F47" s="15" t="s">
        <v>1009</v>
      </c>
      <c r="G47" s="15" t="n">
        <v>3</v>
      </c>
      <c r="H47" s="15" t="n">
        <v>1</v>
      </c>
      <c r="I47" s="15" t="n">
        <f aca="false">IF(AND(ISNUMBER(G47),ISNUMBER(H47)),G47*2-H47,"")</f>
        <v>5</v>
      </c>
      <c r="J47" s="15" t="s">
        <v>1019</v>
      </c>
      <c r="K47" s="15" t="s">
        <v>1011</v>
      </c>
      <c r="L47" s="15" t="s">
        <v>1078</v>
      </c>
      <c r="M47" s="15" t="s">
        <v>504</v>
      </c>
      <c r="N47" s="15" t="str">
        <f aca="false">IF(M47="","Not built (workbook: do not build)",IFERROR(INDEX(Pages!$F$2:$F$98,MATCH(M47,Pages!$B$2:$B$98,0)),"Not found"))</f>
        <v>Mortgage Investment Entity (MIE) vs MIC | Lendmax Capital MIC</v>
      </c>
      <c r="O47" s="15" t="s">
        <v>113</v>
      </c>
      <c r="P47" s="16"/>
      <c r="Q47" s="16"/>
      <c r="R47" s="16"/>
      <c r="S47" s="16"/>
      <c r="T47" s="15"/>
    </row>
    <row r="48" customFormat="false" ht="15" hidden="false" customHeight="false" outlineLevel="0" collapsed="false">
      <c r="A48" s="15" t="s">
        <v>490</v>
      </c>
      <c r="B48" s="15" t="s">
        <v>1015</v>
      </c>
      <c r="C48" s="15" t="s">
        <v>1072</v>
      </c>
      <c r="D48" s="15" t="s">
        <v>1016</v>
      </c>
      <c r="E48" s="15" t="s">
        <v>1058</v>
      </c>
      <c r="F48" s="15" t="s">
        <v>1009</v>
      </c>
      <c r="G48" s="15" t="n">
        <v>4</v>
      </c>
      <c r="H48" s="15" t="n">
        <v>2</v>
      </c>
      <c r="I48" s="15" t="n">
        <f aca="false">IF(AND(ISNUMBER(G48),ISNUMBER(H48)),G48*2-H48,"")</f>
        <v>6</v>
      </c>
      <c r="J48" s="15" t="s">
        <v>1010</v>
      </c>
      <c r="K48" s="15" t="s">
        <v>1020</v>
      </c>
      <c r="L48" s="15" t="s">
        <v>1080</v>
      </c>
      <c r="M48" s="15" t="s">
        <v>486</v>
      </c>
      <c r="N48" s="15" t="str">
        <f aca="false">IF(M48="","Not built (workbook: do not build)",IFERROR(INDEX(Pages!$F$2:$F$98,MATCH(M48,Pages!$B$2:$B$98,0)),"Not found"))</f>
        <v>MIC Shares: Preferred, Common and Share Classes</v>
      </c>
      <c r="O48" s="15" t="s">
        <v>113</v>
      </c>
      <c r="P48" s="16"/>
      <c r="Q48" s="16"/>
      <c r="R48" s="16"/>
      <c r="S48" s="16"/>
      <c r="T48" s="15"/>
    </row>
    <row r="49" customFormat="false" ht="15" hidden="false" customHeight="false" outlineLevel="0" collapsed="false">
      <c r="A49" s="15" t="s">
        <v>1081</v>
      </c>
      <c r="B49" s="15" t="s">
        <v>1022</v>
      </c>
      <c r="C49" s="15" t="s">
        <v>1072</v>
      </c>
      <c r="D49" s="15" t="s">
        <v>1016</v>
      </c>
      <c r="E49" s="15" t="s">
        <v>1058</v>
      </c>
      <c r="F49" s="15" t="s">
        <v>1009</v>
      </c>
      <c r="G49" s="15" t="n">
        <v>3</v>
      </c>
      <c r="H49" s="15" t="n">
        <v>1</v>
      </c>
      <c r="I49" s="15" t="n">
        <f aca="false">IF(AND(ISNUMBER(G49),ISNUMBER(H49)),G49*2-H49,"")</f>
        <v>5</v>
      </c>
      <c r="J49" s="15" t="s">
        <v>1019</v>
      </c>
      <c r="K49" s="15" t="s">
        <v>1020</v>
      </c>
      <c r="L49" s="15" t="s">
        <v>1080</v>
      </c>
      <c r="M49" s="15" t="s">
        <v>486</v>
      </c>
      <c r="N49" s="15" t="str">
        <f aca="false">IF(M49="","Not built (workbook: do not build)",IFERROR(INDEX(Pages!$F$2:$F$98,MATCH(M49,Pages!$B$2:$B$98,0)),"Not found"))</f>
        <v>MIC Shares: Preferred, Common and Share Classes</v>
      </c>
      <c r="O49" s="15" t="s">
        <v>113</v>
      </c>
      <c r="P49" s="16"/>
      <c r="Q49" s="16"/>
      <c r="R49" s="16"/>
      <c r="S49" s="16"/>
      <c r="T49" s="15"/>
    </row>
    <row r="50" customFormat="false" ht="15" hidden="false" customHeight="false" outlineLevel="0" collapsed="false">
      <c r="A50" s="15" t="s">
        <v>1082</v>
      </c>
      <c r="B50" s="15" t="s">
        <v>1022</v>
      </c>
      <c r="C50" s="15" t="s">
        <v>1072</v>
      </c>
      <c r="D50" s="15" t="s">
        <v>350</v>
      </c>
      <c r="E50" s="15" t="s">
        <v>1058</v>
      </c>
      <c r="F50" s="15" t="s">
        <v>1009</v>
      </c>
      <c r="G50" s="15" t="n">
        <v>3</v>
      </c>
      <c r="H50" s="15" t="n">
        <v>1</v>
      </c>
      <c r="I50" s="15" t="n">
        <f aca="false">IF(AND(ISNUMBER(G50),ISNUMBER(H50)),G50*2-H50,"")</f>
        <v>5</v>
      </c>
      <c r="J50" s="15" t="s">
        <v>1019</v>
      </c>
      <c r="K50" s="15" t="s">
        <v>1011</v>
      </c>
      <c r="L50" s="15" t="s">
        <v>1080</v>
      </c>
      <c r="M50" s="15" t="s">
        <v>486</v>
      </c>
      <c r="N50" s="15" t="str">
        <f aca="false">IF(M50="","Not built (workbook: do not build)",IFERROR(INDEX(Pages!$F$2:$F$98,MATCH(M50,Pages!$B$2:$B$98,0)),"Not found"))</f>
        <v>MIC Shares: Preferred, Common and Share Classes</v>
      </c>
      <c r="O50" s="15" t="s">
        <v>113</v>
      </c>
      <c r="P50" s="16"/>
      <c r="Q50" s="16"/>
      <c r="R50" s="16"/>
      <c r="S50" s="16"/>
      <c r="T50" s="15"/>
    </row>
    <row r="51" customFormat="false" ht="15" hidden="false" customHeight="false" outlineLevel="0" collapsed="false">
      <c r="A51" s="15" t="s">
        <v>1083</v>
      </c>
      <c r="B51" s="15" t="s">
        <v>1022</v>
      </c>
      <c r="C51" s="15" t="s">
        <v>1072</v>
      </c>
      <c r="D51" s="15" t="s">
        <v>1016</v>
      </c>
      <c r="E51" s="15" t="s">
        <v>1084</v>
      </c>
      <c r="F51" s="15" t="s">
        <v>1009</v>
      </c>
      <c r="G51" s="15" t="n">
        <v>3</v>
      </c>
      <c r="H51" s="15" t="n">
        <v>1</v>
      </c>
      <c r="I51" s="15" t="n">
        <f aca="false">IF(AND(ISNUMBER(G51),ISNUMBER(H51)),G51*2-H51,"")</f>
        <v>5</v>
      </c>
      <c r="J51" s="15" t="s">
        <v>1019</v>
      </c>
      <c r="K51" s="15" t="s">
        <v>1020</v>
      </c>
      <c r="L51" s="15" t="s">
        <v>1085</v>
      </c>
      <c r="M51" s="15" t="s">
        <v>450</v>
      </c>
      <c r="N51" s="15" t="str">
        <f aca="false">IF(M51="","Not built (workbook: do not build)",IFERROR(INDEX(Pages!$F$2:$F$98,MATCH(M51,Pages!$B$2:$B$98,0)),"Not found"))</f>
        <v>Liquidity Risk in a Mortgage Investment: Redemption</v>
      </c>
      <c r="O51" s="15" t="s">
        <v>113</v>
      </c>
      <c r="P51" s="16"/>
      <c r="Q51" s="16"/>
      <c r="R51" s="16"/>
      <c r="S51" s="16"/>
      <c r="T51" s="15"/>
    </row>
    <row r="52" customFormat="false" ht="23.85" hidden="false" customHeight="false" outlineLevel="0" collapsed="false">
      <c r="A52" s="15" t="s">
        <v>1086</v>
      </c>
      <c r="B52" s="15" t="s">
        <v>1054</v>
      </c>
      <c r="C52" s="15" t="s">
        <v>1072</v>
      </c>
      <c r="D52" s="15" t="s">
        <v>1051</v>
      </c>
      <c r="E52" s="15" t="s">
        <v>1087</v>
      </c>
      <c r="F52" s="15" t="s">
        <v>1009</v>
      </c>
      <c r="G52" s="15" t="n">
        <v>5</v>
      </c>
      <c r="H52" s="15" t="n">
        <v>3</v>
      </c>
      <c r="I52" s="15" t="n">
        <f aca="false">IF(AND(ISNUMBER(G52),ISNUMBER(H52)),G52*2-H52,"")</f>
        <v>7</v>
      </c>
      <c r="J52" s="15" t="s">
        <v>1010</v>
      </c>
      <c r="K52" s="15" t="s">
        <v>1011</v>
      </c>
      <c r="L52" s="15" t="s">
        <v>1088</v>
      </c>
      <c r="M52" s="15" t="s">
        <v>125</v>
      </c>
      <c r="N52" s="15" t="str">
        <f aca="false">IF(M52="","Not built (workbook: do not build)",IFERROR(INDEX(Pages!$F$2:$F$98,MATCH(M52,Pages!$B$2:$B$98,0)),"Not found"))</f>
        <v>How to Start Investing in Mortgages: Step by Step</v>
      </c>
      <c r="O52" s="15" t="s">
        <v>113</v>
      </c>
      <c r="P52" s="16"/>
      <c r="Q52" s="16"/>
      <c r="R52" s="16"/>
      <c r="S52" s="16"/>
      <c r="T52" s="15"/>
    </row>
    <row r="53" customFormat="false" ht="15" hidden="false" customHeight="false" outlineLevel="0" collapsed="false">
      <c r="A53" s="15" t="s">
        <v>472</v>
      </c>
      <c r="B53" s="15" t="s">
        <v>1022</v>
      </c>
      <c r="C53" s="15" t="s">
        <v>1072</v>
      </c>
      <c r="D53" s="15" t="s">
        <v>350</v>
      </c>
      <c r="E53" s="15" t="s">
        <v>1058</v>
      </c>
      <c r="F53" s="15" t="s">
        <v>1009</v>
      </c>
      <c r="G53" s="15" t="n">
        <v>4</v>
      </c>
      <c r="H53" s="15" t="n">
        <v>3</v>
      </c>
      <c r="I53" s="15" t="n">
        <f aca="false">IF(AND(ISNUMBER(G53),ISNUMBER(H53)),G53*2-H53,"")</f>
        <v>5</v>
      </c>
      <c r="J53" s="15" t="s">
        <v>1019</v>
      </c>
      <c r="K53" s="15" t="s">
        <v>1011</v>
      </c>
      <c r="L53" s="15" t="s">
        <v>1070</v>
      </c>
      <c r="M53" s="15" t="s">
        <v>468</v>
      </c>
      <c r="N53" s="15" t="str">
        <f aca="false">IF(M53="","Not built (workbook: do not build)",IFERROR(INDEX(Pages!$F$2:$F$98,MATCH(M53,Pages!$B$2:$B$98,0)),"Not found"))</f>
        <v>MIC Minimum Investment: What It Takes to Start</v>
      </c>
      <c r="O53" s="15" t="s">
        <v>113</v>
      </c>
      <c r="P53" s="16"/>
      <c r="Q53" s="16"/>
      <c r="R53" s="16"/>
      <c r="S53" s="16"/>
      <c r="T53" s="15"/>
    </row>
    <row r="54" customFormat="false" ht="15" hidden="false" customHeight="false" outlineLevel="0" collapsed="false">
      <c r="A54" s="15" t="s">
        <v>1089</v>
      </c>
      <c r="B54" s="15" t="s">
        <v>1022</v>
      </c>
      <c r="C54" s="15" t="s">
        <v>1072</v>
      </c>
      <c r="D54" s="15" t="s">
        <v>1065</v>
      </c>
      <c r="E54" s="15" t="s">
        <v>1058</v>
      </c>
      <c r="F54" s="15" t="s">
        <v>1009</v>
      </c>
      <c r="G54" s="15" t="n">
        <v>3</v>
      </c>
      <c r="H54" s="15" t="n">
        <v>1</v>
      </c>
      <c r="I54" s="15" t="n">
        <f aca="false">IF(AND(ISNUMBER(G54),ISNUMBER(H54)),G54*2-H54,"")</f>
        <v>5</v>
      </c>
      <c r="J54" s="15" t="s">
        <v>1019</v>
      </c>
      <c r="K54" s="15" t="s">
        <v>1011</v>
      </c>
      <c r="L54" s="15" t="s">
        <v>1090</v>
      </c>
      <c r="M54" s="15" t="s">
        <v>477</v>
      </c>
      <c r="N54" s="15" t="str">
        <f aca="false">IF(M54="","Not built (workbook: do not build)",IFERROR(INDEX(Pages!$F$2:$F$98,MATCH(M54,Pages!$B$2:$B$98,0)),"Not found"))</f>
        <v>MIC Qualification Requirements in Canada | Lendmax Capital MIC</v>
      </c>
      <c r="O54" s="15" t="s">
        <v>113</v>
      </c>
      <c r="P54" s="16"/>
      <c r="Q54" s="16"/>
      <c r="R54" s="16"/>
      <c r="S54" s="16"/>
      <c r="T54" s="15"/>
    </row>
    <row r="55" customFormat="false" ht="15" hidden="false" customHeight="false" outlineLevel="0" collapsed="false">
      <c r="A55" s="15" t="s">
        <v>1091</v>
      </c>
      <c r="B55" s="15" t="s">
        <v>1022</v>
      </c>
      <c r="C55" s="15" t="s">
        <v>1072</v>
      </c>
      <c r="D55" s="15" t="s">
        <v>1065</v>
      </c>
      <c r="E55" s="15" t="s">
        <v>1058</v>
      </c>
      <c r="F55" s="15" t="s">
        <v>1009</v>
      </c>
      <c r="G55" s="15" t="n">
        <v>3</v>
      </c>
      <c r="H55" s="15" t="n">
        <v>1</v>
      </c>
      <c r="I55" s="15" t="n">
        <f aca="false">IF(AND(ISNUMBER(G55),ISNUMBER(H55)),G55*2-H55,"")</f>
        <v>5</v>
      </c>
      <c r="J55" s="15" t="s">
        <v>1019</v>
      </c>
      <c r="K55" s="15" t="s">
        <v>1011</v>
      </c>
      <c r="L55" s="15" t="s">
        <v>1090</v>
      </c>
      <c r="M55" s="15" t="s">
        <v>477</v>
      </c>
      <c r="N55" s="15" t="str">
        <f aca="false">IF(M55="","Not built (workbook: do not build)",IFERROR(INDEX(Pages!$F$2:$F$98,MATCH(M55,Pages!$B$2:$B$98,0)),"Not found"))</f>
        <v>MIC Qualification Requirements in Canada | Lendmax Capital MIC</v>
      </c>
      <c r="O55" s="15" t="s">
        <v>113</v>
      </c>
      <c r="P55" s="16"/>
      <c r="Q55" s="16"/>
      <c r="R55" s="16"/>
      <c r="S55" s="16"/>
      <c r="T55" s="15"/>
    </row>
    <row r="56" customFormat="false" ht="15" hidden="false" customHeight="false" outlineLevel="0" collapsed="false">
      <c r="A56" s="15" t="s">
        <v>1092</v>
      </c>
      <c r="B56" s="15" t="s">
        <v>1022</v>
      </c>
      <c r="C56" s="15" t="s">
        <v>1072</v>
      </c>
      <c r="D56" s="15" t="s">
        <v>1065</v>
      </c>
      <c r="E56" s="15" t="s">
        <v>1058</v>
      </c>
      <c r="F56" s="15" t="s">
        <v>1009</v>
      </c>
      <c r="G56" s="15" t="n">
        <v>4</v>
      </c>
      <c r="H56" s="15" t="n">
        <v>1</v>
      </c>
      <c r="I56" s="15" t="n">
        <f aca="false">IF(AND(ISNUMBER(G56),ISNUMBER(H56)),G56*2-H56,"")</f>
        <v>7</v>
      </c>
      <c r="J56" s="15" t="s">
        <v>1010</v>
      </c>
      <c r="K56" s="15" t="s">
        <v>1011</v>
      </c>
      <c r="L56" s="15" t="s">
        <v>1090</v>
      </c>
      <c r="M56" s="15" t="s">
        <v>477</v>
      </c>
      <c r="N56" s="15" t="str">
        <f aca="false">IF(M56="","Not built (workbook: do not build)",IFERROR(INDEX(Pages!$F$2:$F$98,MATCH(M56,Pages!$B$2:$B$98,0)),"Not found"))</f>
        <v>MIC Qualification Requirements in Canada | Lendmax Capital MIC</v>
      </c>
      <c r="O56" s="15" t="s">
        <v>113</v>
      </c>
      <c r="P56" s="16"/>
      <c r="Q56" s="16"/>
      <c r="R56" s="16"/>
      <c r="S56" s="16"/>
      <c r="T56" s="15"/>
    </row>
    <row r="57" customFormat="false" ht="15" hidden="false" customHeight="false" outlineLevel="0" collapsed="false">
      <c r="A57" s="15" t="s">
        <v>481</v>
      </c>
      <c r="B57" s="15" t="s">
        <v>1022</v>
      </c>
      <c r="C57" s="15" t="s">
        <v>1072</v>
      </c>
      <c r="D57" s="15" t="s">
        <v>1065</v>
      </c>
      <c r="E57" s="15" t="s">
        <v>1058</v>
      </c>
      <c r="F57" s="15" t="s">
        <v>1009</v>
      </c>
      <c r="G57" s="15" t="n">
        <v>4</v>
      </c>
      <c r="H57" s="15" t="n">
        <v>1</v>
      </c>
      <c r="I57" s="15" t="n">
        <f aca="false">IF(AND(ISNUMBER(G57),ISNUMBER(H57)),G57*2-H57,"")</f>
        <v>7</v>
      </c>
      <c r="J57" s="15" t="s">
        <v>1010</v>
      </c>
      <c r="K57" s="15" t="s">
        <v>1011</v>
      </c>
      <c r="L57" s="15" t="s">
        <v>1090</v>
      </c>
      <c r="M57" s="15" t="s">
        <v>477</v>
      </c>
      <c r="N57" s="15" t="str">
        <f aca="false">IF(M57="","Not built (workbook: do not build)",IFERROR(INDEX(Pages!$F$2:$F$98,MATCH(M57,Pages!$B$2:$B$98,0)),"Not found"))</f>
        <v>MIC Qualification Requirements in Canada | Lendmax Capital MIC</v>
      </c>
      <c r="O57" s="15" t="s">
        <v>113</v>
      </c>
      <c r="P57" s="16"/>
      <c r="Q57" s="16"/>
      <c r="R57" s="16"/>
      <c r="S57" s="16"/>
      <c r="T57" s="15"/>
    </row>
    <row r="58" customFormat="false" ht="15" hidden="false" customHeight="false" outlineLevel="0" collapsed="false">
      <c r="A58" s="15" t="s">
        <v>1093</v>
      </c>
      <c r="B58" s="15" t="s">
        <v>1054</v>
      </c>
      <c r="C58" s="15" t="s">
        <v>1072</v>
      </c>
      <c r="D58" s="15" t="s">
        <v>1007</v>
      </c>
      <c r="E58" s="15" t="s">
        <v>1023</v>
      </c>
      <c r="F58" s="15" t="s">
        <v>1009</v>
      </c>
      <c r="G58" s="15" t="n">
        <v>3</v>
      </c>
      <c r="H58" s="15" t="n">
        <v>1</v>
      </c>
      <c r="I58" s="15" t="n">
        <f aca="false">IF(AND(ISNUMBER(G58),ISNUMBER(H58)),G58*2-H58,"")</f>
        <v>5</v>
      </c>
      <c r="J58" s="15" t="s">
        <v>1019</v>
      </c>
      <c r="K58" s="15" t="s">
        <v>1011</v>
      </c>
      <c r="L58" s="15" t="s">
        <v>1094</v>
      </c>
      <c r="M58" s="15" t="s">
        <v>257</v>
      </c>
      <c r="N58" s="15" t="str">
        <f aca="false">IF(M58="","Not built (workbook: do not build)",IFERROR(INDEX(Pages!$F$2:$F$98,MATCH(M58,Pages!$B$2:$B$98,0)),"Not found"))</f>
        <v>MIC Market Size in Canada: Sources and How to Read Them</v>
      </c>
      <c r="O58" s="15" t="s">
        <v>113</v>
      </c>
      <c r="P58" s="16"/>
      <c r="Q58" s="16"/>
      <c r="R58" s="16"/>
      <c r="S58" s="16"/>
      <c r="T58" s="15"/>
    </row>
    <row r="59" customFormat="false" ht="15" hidden="false" customHeight="false" outlineLevel="0" collapsed="false">
      <c r="A59" s="15" t="s">
        <v>262</v>
      </c>
      <c r="B59" s="15" t="s">
        <v>1022</v>
      </c>
      <c r="C59" s="15" t="s">
        <v>1072</v>
      </c>
      <c r="D59" s="15" t="s">
        <v>1007</v>
      </c>
      <c r="E59" s="15" t="s">
        <v>1023</v>
      </c>
      <c r="F59" s="15" t="s">
        <v>1009</v>
      </c>
      <c r="G59" s="15" t="n">
        <v>4</v>
      </c>
      <c r="H59" s="15" t="n">
        <v>1</v>
      </c>
      <c r="I59" s="15" t="n">
        <f aca="false">IF(AND(ISNUMBER(G59),ISNUMBER(H59)),G59*2-H59,"")</f>
        <v>7</v>
      </c>
      <c r="J59" s="15" t="s">
        <v>1010</v>
      </c>
      <c r="K59" s="15" t="s">
        <v>1011</v>
      </c>
      <c r="L59" s="15" t="s">
        <v>1094</v>
      </c>
      <c r="M59" s="15" t="s">
        <v>257</v>
      </c>
      <c r="N59" s="15" t="str">
        <f aca="false">IF(M59="","Not built (workbook: do not build)",IFERROR(INDEX(Pages!$F$2:$F$98,MATCH(M59,Pages!$B$2:$B$98,0)),"Not found"))</f>
        <v>MIC Market Size in Canada: Sources and How to Read Them</v>
      </c>
      <c r="O59" s="15" t="s">
        <v>113</v>
      </c>
      <c r="P59" s="16"/>
      <c r="Q59" s="16"/>
      <c r="R59" s="16"/>
      <c r="S59" s="16"/>
      <c r="T59" s="15"/>
    </row>
    <row r="60" customFormat="false" ht="15" hidden="false" customHeight="false" outlineLevel="0" collapsed="false">
      <c r="A60" s="15" t="s">
        <v>1095</v>
      </c>
      <c r="B60" s="15" t="s">
        <v>1022</v>
      </c>
      <c r="C60" s="15" t="s">
        <v>1072</v>
      </c>
      <c r="D60" s="15" t="s">
        <v>350</v>
      </c>
      <c r="E60" s="15" t="s">
        <v>1058</v>
      </c>
      <c r="F60" s="15" t="s">
        <v>1009</v>
      </c>
      <c r="G60" s="15" t="n">
        <v>4</v>
      </c>
      <c r="H60" s="15" t="n">
        <v>2</v>
      </c>
      <c r="I60" s="15" t="n">
        <f aca="false">IF(AND(ISNUMBER(G60),ISNUMBER(H60)),G60*2-H60,"")</f>
        <v>6</v>
      </c>
      <c r="J60" s="15" t="s">
        <v>1010</v>
      </c>
      <c r="K60" s="15" t="s">
        <v>1011</v>
      </c>
      <c r="L60" s="15" t="s">
        <v>1094</v>
      </c>
      <c r="M60" s="15" t="s">
        <v>257</v>
      </c>
      <c r="N60" s="15" t="str">
        <f aca="false">IF(M60="","Not built (workbook: do not build)",IFERROR(INDEX(Pages!$F$2:$F$98,MATCH(M60,Pages!$B$2:$B$98,0)),"Not found"))</f>
        <v>MIC Market Size in Canada: Sources and How to Read Them</v>
      </c>
      <c r="O60" s="15" t="s">
        <v>113</v>
      </c>
      <c r="P60" s="16"/>
      <c r="Q60" s="16"/>
      <c r="R60" s="16"/>
      <c r="S60" s="16"/>
      <c r="T60" s="15"/>
    </row>
    <row r="61" customFormat="false" ht="15" hidden="false" customHeight="false" outlineLevel="0" collapsed="false">
      <c r="A61" s="15" t="s">
        <v>436</v>
      </c>
      <c r="B61" s="15" t="s">
        <v>1054</v>
      </c>
      <c r="C61" s="15" t="s">
        <v>1072</v>
      </c>
      <c r="D61" s="15" t="s">
        <v>1065</v>
      </c>
      <c r="E61" s="15" t="s">
        <v>1058</v>
      </c>
      <c r="F61" s="15" t="s">
        <v>1009</v>
      </c>
      <c r="G61" s="15" t="n">
        <v>5</v>
      </c>
      <c r="H61" s="15" t="n">
        <v>2</v>
      </c>
      <c r="I61" s="15" t="n">
        <f aca="false">IF(AND(ISNUMBER(G61),ISNUMBER(H61)),G61*2-H61,"")</f>
        <v>8</v>
      </c>
      <c r="J61" s="15" t="s">
        <v>1047</v>
      </c>
      <c r="K61" s="15" t="s">
        <v>1011</v>
      </c>
      <c r="L61" s="15" t="s">
        <v>1096</v>
      </c>
      <c r="M61" s="15" t="s">
        <v>431</v>
      </c>
      <c r="N61" s="15" t="str">
        <f aca="false">IF(M61="","Not built (workbook: do not build)",IFERROR(INDEX(Pages!$F$2:$F$98,MATCH(M61,Pages!$B$2:$B$98,0)),"Not found"))</f>
        <v>How to Choose a MIC: 20 Questions to Ask First</v>
      </c>
      <c r="O61" s="15" t="s">
        <v>113</v>
      </c>
      <c r="P61" s="16"/>
      <c r="Q61" s="16"/>
      <c r="R61" s="16"/>
      <c r="S61" s="16"/>
      <c r="T61" s="15"/>
    </row>
    <row r="62" customFormat="false" ht="15" hidden="false" customHeight="false" outlineLevel="0" collapsed="false">
      <c r="A62" s="15" t="s">
        <v>1097</v>
      </c>
      <c r="B62" s="15" t="s">
        <v>1022</v>
      </c>
      <c r="C62" s="15" t="s">
        <v>1072</v>
      </c>
      <c r="D62" s="15" t="s">
        <v>1065</v>
      </c>
      <c r="E62" s="15" t="s">
        <v>1058</v>
      </c>
      <c r="F62" s="15" t="s">
        <v>1009</v>
      </c>
      <c r="G62" s="15" t="n">
        <v>5</v>
      </c>
      <c r="H62" s="15" t="n">
        <v>1</v>
      </c>
      <c r="I62" s="15" t="n">
        <f aca="false">IF(AND(ISNUMBER(G62),ISNUMBER(H62)),G62*2-H62,"")</f>
        <v>9</v>
      </c>
      <c r="J62" s="15" t="s">
        <v>1047</v>
      </c>
      <c r="K62" s="15" t="s">
        <v>1011</v>
      </c>
      <c r="L62" s="15" t="s">
        <v>1098</v>
      </c>
      <c r="M62" s="15" t="s">
        <v>431</v>
      </c>
      <c r="N62" s="15" t="str">
        <f aca="false">IF(M62="","Not built (workbook: do not build)",IFERROR(INDEX(Pages!$F$2:$F$98,MATCH(M62,Pages!$B$2:$B$98,0)),"Not found"))</f>
        <v>How to Choose a MIC: 20 Questions to Ask First</v>
      </c>
      <c r="O62" s="15" t="s">
        <v>113</v>
      </c>
      <c r="P62" s="16"/>
      <c r="Q62" s="16"/>
      <c r="R62" s="16"/>
      <c r="S62" s="16"/>
      <c r="T62" s="15"/>
    </row>
    <row r="63" customFormat="false" ht="15" hidden="false" customHeight="false" outlineLevel="0" collapsed="false">
      <c r="A63" s="15" t="s">
        <v>1099</v>
      </c>
      <c r="B63" s="15" t="s">
        <v>1054</v>
      </c>
      <c r="C63" s="15" t="s">
        <v>1072</v>
      </c>
      <c r="D63" s="15" t="s">
        <v>1065</v>
      </c>
      <c r="E63" s="15" t="s">
        <v>1058</v>
      </c>
      <c r="F63" s="15" t="s">
        <v>1009</v>
      </c>
      <c r="G63" s="15" t="n">
        <v>5</v>
      </c>
      <c r="H63" s="15" t="n">
        <v>2</v>
      </c>
      <c r="I63" s="15" t="n">
        <f aca="false">IF(AND(ISNUMBER(G63),ISNUMBER(H63)),G63*2-H63,"")</f>
        <v>8</v>
      </c>
      <c r="J63" s="15" t="s">
        <v>1047</v>
      </c>
      <c r="K63" s="15" t="s">
        <v>1011</v>
      </c>
      <c r="L63" s="15" t="s">
        <v>1098</v>
      </c>
      <c r="M63" s="15" t="s">
        <v>431</v>
      </c>
      <c r="N63" s="15" t="str">
        <f aca="false">IF(M63="","Not built (workbook: do not build)",IFERROR(INDEX(Pages!$F$2:$F$98,MATCH(M63,Pages!$B$2:$B$98,0)),"Not found"))</f>
        <v>How to Choose a MIC: 20 Questions to Ask First</v>
      </c>
      <c r="O63" s="15" t="s">
        <v>113</v>
      </c>
      <c r="P63" s="16"/>
      <c r="Q63" s="16"/>
      <c r="R63" s="16"/>
      <c r="S63" s="16"/>
      <c r="T63" s="15"/>
    </row>
    <row r="64" customFormat="false" ht="15" hidden="false" customHeight="false" outlineLevel="0" collapsed="false">
      <c r="A64" s="15" t="s">
        <v>1100</v>
      </c>
      <c r="B64" s="15" t="s">
        <v>1054</v>
      </c>
      <c r="C64" s="15" t="s">
        <v>1072</v>
      </c>
      <c r="D64" s="15" t="s">
        <v>1065</v>
      </c>
      <c r="E64" s="15" t="s">
        <v>1058</v>
      </c>
      <c r="F64" s="15" t="s">
        <v>1009</v>
      </c>
      <c r="G64" s="15" t="n">
        <v>4</v>
      </c>
      <c r="H64" s="15" t="n">
        <v>1</v>
      </c>
      <c r="I64" s="15" t="n">
        <f aca="false">IF(AND(ISNUMBER(G64),ISNUMBER(H64)),G64*2-H64,"")</f>
        <v>7</v>
      </c>
      <c r="J64" s="15" t="s">
        <v>1010</v>
      </c>
      <c r="K64" s="15" t="s">
        <v>1011</v>
      </c>
      <c r="L64" s="15" t="s">
        <v>1101</v>
      </c>
      <c r="M64" s="15" t="s">
        <v>837</v>
      </c>
      <c r="N64" s="15" t="str">
        <f aca="false">IF(M64="","Not built (workbook: do not build)",IFERROR(INDEX(Pages!$F$2:$F$98,MATCH(M64,Pages!$B$2:$B$98,0)),"Not found"))</f>
        <v>How to Read a MIC Financial Statement and OM</v>
      </c>
      <c r="O64" s="15" t="s">
        <v>113</v>
      </c>
      <c r="P64" s="16"/>
      <c r="Q64" s="16"/>
      <c r="R64" s="16"/>
      <c r="S64" s="16"/>
      <c r="T64" s="15"/>
    </row>
    <row r="65" customFormat="false" ht="15" hidden="false" customHeight="false" outlineLevel="0" collapsed="false">
      <c r="A65" s="15" t="s">
        <v>841</v>
      </c>
      <c r="B65" s="15" t="s">
        <v>1054</v>
      </c>
      <c r="C65" s="15" t="s">
        <v>1072</v>
      </c>
      <c r="D65" s="15" t="s">
        <v>1065</v>
      </c>
      <c r="E65" s="15" t="s">
        <v>1058</v>
      </c>
      <c r="F65" s="15" t="s">
        <v>1009</v>
      </c>
      <c r="G65" s="15" t="n">
        <v>4</v>
      </c>
      <c r="H65" s="15" t="n">
        <v>1</v>
      </c>
      <c r="I65" s="15" t="n">
        <f aca="false">IF(AND(ISNUMBER(G65),ISNUMBER(H65)),G65*2-H65,"")</f>
        <v>7</v>
      </c>
      <c r="J65" s="15" t="s">
        <v>1010</v>
      </c>
      <c r="K65" s="15" t="s">
        <v>1011</v>
      </c>
      <c r="L65" s="15" t="s">
        <v>1101</v>
      </c>
      <c r="M65" s="15" t="s">
        <v>837</v>
      </c>
      <c r="N65" s="15" t="str">
        <f aca="false">IF(M65="","Not built (workbook: do not build)",IFERROR(INDEX(Pages!$F$2:$F$98,MATCH(M65,Pages!$B$2:$B$98,0)),"Not found"))</f>
        <v>How to Read a MIC Financial Statement and OM</v>
      </c>
      <c r="O65" s="15" t="s">
        <v>113</v>
      </c>
      <c r="P65" s="16"/>
      <c r="Q65" s="16"/>
      <c r="R65" s="16"/>
      <c r="S65" s="16"/>
      <c r="T65" s="15"/>
    </row>
    <row r="66" customFormat="false" ht="15" hidden="false" customHeight="false" outlineLevel="0" collapsed="false">
      <c r="A66" s="15" t="s">
        <v>552</v>
      </c>
      <c r="B66" s="15" t="s">
        <v>1015</v>
      </c>
      <c r="C66" s="15" t="s">
        <v>1102</v>
      </c>
      <c r="D66" s="15" t="s">
        <v>1016</v>
      </c>
      <c r="E66" s="15" t="s">
        <v>1027</v>
      </c>
      <c r="F66" s="15" t="s">
        <v>1009</v>
      </c>
      <c r="G66" s="15" t="n">
        <v>4</v>
      </c>
      <c r="H66" s="15" t="n">
        <v>3</v>
      </c>
      <c r="I66" s="15" t="n">
        <f aca="false">IF(AND(ISNUMBER(G66),ISNUMBER(H66)),G66*2-H66,"")</f>
        <v>5</v>
      </c>
      <c r="J66" s="15" t="s">
        <v>1019</v>
      </c>
      <c r="K66" s="15" t="s">
        <v>1011</v>
      </c>
      <c r="L66" s="15" t="s">
        <v>1103</v>
      </c>
      <c r="M66" s="15" t="s">
        <v>549</v>
      </c>
      <c r="N66" s="15" t="str">
        <f aca="false">IF(M66="","Not built (workbook: do not build)",IFERROR(INDEX(Pages!$F$2:$F$98,MATCH(M66,Pages!$B$2:$B$98,0)),"Not found"))</f>
        <v>Mortgage Funds in Canada: How They Differ From a MIC</v>
      </c>
      <c r="O66" s="15" t="s">
        <v>113</v>
      </c>
      <c r="P66" s="16"/>
      <c r="Q66" s="16"/>
      <c r="R66" s="16"/>
      <c r="S66" s="16"/>
      <c r="T66" s="15"/>
    </row>
    <row r="67" customFormat="false" ht="15" hidden="false" customHeight="false" outlineLevel="0" collapsed="false">
      <c r="A67" s="15" t="s">
        <v>1104</v>
      </c>
      <c r="B67" s="15" t="s">
        <v>1015</v>
      </c>
      <c r="C67" s="15" t="s">
        <v>1102</v>
      </c>
      <c r="D67" s="15" t="s">
        <v>1016</v>
      </c>
      <c r="E67" s="15" t="s">
        <v>1027</v>
      </c>
      <c r="F67" s="15" t="s">
        <v>1009</v>
      </c>
      <c r="G67" s="15" t="n">
        <v>4</v>
      </c>
      <c r="H67" s="15" t="n">
        <v>2</v>
      </c>
      <c r="I67" s="15" t="n">
        <f aca="false">IF(AND(ISNUMBER(G67),ISNUMBER(H67)),G67*2-H67,"")</f>
        <v>6</v>
      </c>
      <c r="J67" s="15" t="s">
        <v>1010</v>
      </c>
      <c r="K67" s="15" t="s">
        <v>1011</v>
      </c>
      <c r="L67" s="15" t="s">
        <v>1103</v>
      </c>
      <c r="M67" s="15" t="s">
        <v>549</v>
      </c>
      <c r="N67" s="15" t="str">
        <f aca="false">IF(M67="","Not built (workbook: do not build)",IFERROR(INDEX(Pages!$F$2:$F$98,MATCH(M67,Pages!$B$2:$B$98,0)),"Not found"))</f>
        <v>Mortgage Funds in Canada: How They Differ From a MIC</v>
      </c>
      <c r="O67" s="15" t="s">
        <v>113</v>
      </c>
      <c r="P67" s="16"/>
      <c r="Q67" s="16"/>
      <c r="R67" s="16"/>
      <c r="S67" s="16"/>
      <c r="T67" s="15"/>
    </row>
    <row r="68" customFormat="false" ht="15" hidden="false" customHeight="false" outlineLevel="0" collapsed="false">
      <c r="A68" s="15" t="s">
        <v>1105</v>
      </c>
      <c r="B68" s="15" t="s">
        <v>1022</v>
      </c>
      <c r="C68" s="15" t="s">
        <v>1102</v>
      </c>
      <c r="D68" s="15" t="s">
        <v>350</v>
      </c>
      <c r="E68" s="15" t="s">
        <v>1058</v>
      </c>
      <c r="F68" s="15" t="s">
        <v>1009</v>
      </c>
      <c r="G68" s="15" t="n">
        <v>4</v>
      </c>
      <c r="H68" s="15" t="n">
        <v>1</v>
      </c>
      <c r="I68" s="15" t="n">
        <f aca="false">IF(AND(ISNUMBER(G68),ISNUMBER(H68)),G68*2-H68,"")</f>
        <v>7</v>
      </c>
      <c r="J68" s="15" t="s">
        <v>1010</v>
      </c>
      <c r="K68" s="15" t="s">
        <v>1011</v>
      </c>
      <c r="L68" s="15" t="s">
        <v>1106</v>
      </c>
      <c r="M68" s="15" t="s">
        <v>766</v>
      </c>
      <c r="N68" s="15" t="str">
        <f aca="false">IF(M68="","Not built (workbook: do not build)",IFERROR(INDEX(Pages!$F$2:$F$98,MATCH(M68,Pages!$B$2:$B$98,0)),"Not found"))</f>
        <v>Mortgage Investment Structures in Canada Compared</v>
      </c>
      <c r="O68" s="15" t="s">
        <v>113</v>
      </c>
      <c r="P68" s="16"/>
      <c r="Q68" s="16"/>
      <c r="R68" s="16"/>
      <c r="S68" s="16"/>
      <c r="T68" s="15"/>
    </row>
    <row r="69" customFormat="false" ht="15" hidden="false" customHeight="false" outlineLevel="0" collapsed="false">
      <c r="A69" s="15" t="s">
        <v>770</v>
      </c>
      <c r="B69" s="15" t="s">
        <v>1022</v>
      </c>
      <c r="C69" s="15" t="s">
        <v>1102</v>
      </c>
      <c r="D69" s="15" t="s">
        <v>350</v>
      </c>
      <c r="E69" s="15" t="s">
        <v>1058</v>
      </c>
      <c r="F69" s="15" t="s">
        <v>1009</v>
      </c>
      <c r="G69" s="15" t="n">
        <v>4</v>
      </c>
      <c r="H69" s="15" t="n">
        <v>1</v>
      </c>
      <c r="I69" s="15" t="n">
        <f aca="false">IF(AND(ISNUMBER(G69),ISNUMBER(H69)),G69*2-H69,"")</f>
        <v>7</v>
      </c>
      <c r="J69" s="15" t="s">
        <v>1010</v>
      </c>
      <c r="K69" s="15" t="s">
        <v>1011</v>
      </c>
      <c r="L69" s="15" t="s">
        <v>1106</v>
      </c>
      <c r="M69" s="15" t="s">
        <v>766</v>
      </c>
      <c r="N69" s="15" t="str">
        <f aca="false">IF(M69="","Not built (workbook: do not build)",IFERROR(INDEX(Pages!$F$2:$F$98,MATCH(M69,Pages!$B$2:$B$98,0)),"Not found"))</f>
        <v>Mortgage Investment Structures in Canada Compared</v>
      </c>
      <c r="O69" s="15" t="s">
        <v>113</v>
      </c>
      <c r="P69" s="16"/>
      <c r="Q69" s="16"/>
      <c r="R69" s="16"/>
      <c r="S69" s="16"/>
      <c r="T69" s="15"/>
    </row>
    <row r="70" customFormat="false" ht="15" hidden="false" customHeight="false" outlineLevel="0" collapsed="false">
      <c r="A70" s="15" t="s">
        <v>912</v>
      </c>
      <c r="B70" s="15" t="s">
        <v>1015</v>
      </c>
      <c r="C70" s="15" t="s">
        <v>1102</v>
      </c>
      <c r="D70" s="15" t="s">
        <v>1016</v>
      </c>
      <c r="E70" s="15" t="s">
        <v>1027</v>
      </c>
      <c r="F70" s="15" t="s">
        <v>1009</v>
      </c>
      <c r="G70" s="15" t="n">
        <v>4</v>
      </c>
      <c r="H70" s="15" t="n">
        <v>2</v>
      </c>
      <c r="I70" s="15" t="n">
        <f aca="false">IF(AND(ISNUMBER(G70),ISNUMBER(H70)),G70*2-H70,"")</f>
        <v>6</v>
      </c>
      <c r="J70" s="15" t="s">
        <v>1010</v>
      </c>
      <c r="K70" s="15" t="s">
        <v>1011</v>
      </c>
      <c r="L70" s="15" t="s">
        <v>1107</v>
      </c>
      <c r="M70" s="15" t="s">
        <v>368</v>
      </c>
      <c r="N70" s="15" t="str">
        <f aca="false">IF(M70="","Not built (workbook: do not build)",IFERROR(INDEX(Pages!$F$2:$F$98,MATCH(M70,Pages!$B$2:$B$98,0)),"Not found"))</f>
        <v>Fractional Mortgage Investing and Syndicated Mortgages</v>
      </c>
      <c r="O70" s="15" t="s">
        <v>113</v>
      </c>
      <c r="P70" s="16"/>
      <c r="Q70" s="16"/>
      <c r="R70" s="16"/>
      <c r="S70" s="16"/>
      <c r="T70" s="15"/>
    </row>
    <row r="71" customFormat="false" ht="15" hidden="false" customHeight="false" outlineLevel="0" collapsed="false">
      <c r="A71" s="15" t="s">
        <v>914</v>
      </c>
      <c r="B71" s="15" t="s">
        <v>1054</v>
      </c>
      <c r="C71" s="15" t="s">
        <v>1102</v>
      </c>
      <c r="D71" s="15" t="s">
        <v>1007</v>
      </c>
      <c r="E71" s="15" t="s">
        <v>1023</v>
      </c>
      <c r="F71" s="15" t="s">
        <v>1009</v>
      </c>
      <c r="G71" s="15" t="n">
        <v>4</v>
      </c>
      <c r="H71" s="15" t="n">
        <v>2</v>
      </c>
      <c r="I71" s="15" t="n">
        <f aca="false">IF(AND(ISNUMBER(G71),ISNUMBER(H71)),G71*2-H71,"")</f>
        <v>6</v>
      </c>
      <c r="J71" s="15" t="s">
        <v>1010</v>
      </c>
      <c r="K71" s="15" t="s">
        <v>1011</v>
      </c>
      <c r="L71" s="15" t="s">
        <v>1107</v>
      </c>
      <c r="M71" s="15" t="s">
        <v>368</v>
      </c>
      <c r="N71" s="15" t="str">
        <f aca="false">IF(M71="","Not built (workbook: do not build)",IFERROR(INDEX(Pages!$F$2:$F$98,MATCH(M71,Pages!$B$2:$B$98,0)),"Not found"))</f>
        <v>Fractional Mortgage Investing and Syndicated Mortgages</v>
      </c>
      <c r="O71" s="15" t="s">
        <v>113</v>
      </c>
      <c r="P71" s="16"/>
      <c r="Q71" s="16"/>
      <c r="R71" s="16"/>
      <c r="S71" s="16"/>
      <c r="T71" s="15"/>
    </row>
    <row r="72" customFormat="false" ht="15" hidden="false" customHeight="false" outlineLevel="0" collapsed="false">
      <c r="A72" s="15" t="s">
        <v>1108</v>
      </c>
      <c r="B72" s="15" t="s">
        <v>1022</v>
      </c>
      <c r="C72" s="15" t="s">
        <v>1102</v>
      </c>
      <c r="D72" s="15" t="s">
        <v>1065</v>
      </c>
      <c r="E72" s="15" t="s">
        <v>1058</v>
      </c>
      <c r="F72" s="15" t="s">
        <v>1109</v>
      </c>
      <c r="G72" s="15" t="n">
        <v>3</v>
      </c>
      <c r="H72" s="15" t="n">
        <v>1</v>
      </c>
      <c r="I72" s="15" t="n">
        <f aca="false">IF(AND(ISNUMBER(G72),ISNUMBER(H72)),G72*2-H72,"")</f>
        <v>5</v>
      </c>
      <c r="J72" s="15" t="s">
        <v>1019</v>
      </c>
      <c r="K72" s="15" t="s">
        <v>1011</v>
      </c>
      <c r="L72" s="15" t="s">
        <v>1107</v>
      </c>
      <c r="M72" s="15" t="s">
        <v>908</v>
      </c>
      <c r="N72" s="15" t="str">
        <f aca="false">IF(M72="","Not built (workbook: do not build)",IFERROR(INDEX(Pages!$F$2:$F$98,MATCH(M72,Pages!$B$2:$B$98,0)),"Not found"))</f>
        <v>Syndicated Mortgage Investment Rules in Canada</v>
      </c>
      <c r="O72" s="15" t="s">
        <v>113</v>
      </c>
      <c r="P72" s="16"/>
      <c r="Q72" s="16"/>
      <c r="R72" s="16"/>
      <c r="S72" s="16"/>
      <c r="T72" s="15" t="s">
        <v>1110</v>
      </c>
    </row>
    <row r="73" customFormat="false" ht="15" hidden="false" customHeight="false" outlineLevel="0" collapsed="false">
      <c r="A73" s="15" t="s">
        <v>1111</v>
      </c>
      <c r="B73" s="15" t="s">
        <v>1022</v>
      </c>
      <c r="C73" s="15" t="s">
        <v>1102</v>
      </c>
      <c r="D73" s="15" t="s">
        <v>1065</v>
      </c>
      <c r="E73" s="15" t="s">
        <v>1058</v>
      </c>
      <c r="F73" s="15" t="s">
        <v>1109</v>
      </c>
      <c r="G73" s="15" t="n">
        <v>3</v>
      </c>
      <c r="H73" s="15" t="n">
        <v>1</v>
      </c>
      <c r="I73" s="15" t="n">
        <f aca="false">IF(AND(ISNUMBER(G73),ISNUMBER(H73)),G73*2-H73,"")</f>
        <v>5</v>
      </c>
      <c r="J73" s="15" t="s">
        <v>1019</v>
      </c>
      <c r="K73" s="15" t="s">
        <v>1011</v>
      </c>
      <c r="L73" s="15" t="s">
        <v>1107</v>
      </c>
      <c r="M73" s="15" t="s">
        <v>908</v>
      </c>
      <c r="N73" s="15" t="str">
        <f aca="false">IF(M73="","Not built (workbook: do not build)",IFERROR(INDEX(Pages!$F$2:$F$98,MATCH(M73,Pages!$B$2:$B$98,0)),"Not found"))</f>
        <v>Syndicated Mortgage Investment Rules in Canada</v>
      </c>
      <c r="O73" s="15" t="s">
        <v>113</v>
      </c>
      <c r="P73" s="16"/>
      <c r="Q73" s="16"/>
      <c r="R73" s="16"/>
      <c r="S73" s="16"/>
      <c r="T73" s="15" t="s">
        <v>1110</v>
      </c>
    </row>
    <row r="74" customFormat="false" ht="15" hidden="false" customHeight="false" outlineLevel="0" collapsed="false">
      <c r="A74" s="15" t="s">
        <v>1112</v>
      </c>
      <c r="B74" s="15" t="s">
        <v>1022</v>
      </c>
      <c r="C74" s="15" t="s">
        <v>1102</v>
      </c>
      <c r="D74" s="15" t="s">
        <v>1065</v>
      </c>
      <c r="E74" s="15" t="s">
        <v>1058</v>
      </c>
      <c r="F74" s="15" t="s">
        <v>1009</v>
      </c>
      <c r="G74" s="15" t="n">
        <v>4</v>
      </c>
      <c r="H74" s="15" t="n">
        <v>2</v>
      </c>
      <c r="I74" s="15" t="n">
        <f aca="false">IF(AND(ISNUMBER(G74),ISNUMBER(H74)),G74*2-H74,"")</f>
        <v>6</v>
      </c>
      <c r="J74" s="15" t="s">
        <v>1010</v>
      </c>
      <c r="K74" s="15" t="s">
        <v>1011</v>
      </c>
      <c r="L74" s="15" t="s">
        <v>1107</v>
      </c>
      <c r="M74" s="15" t="s">
        <v>908</v>
      </c>
      <c r="N74" s="15" t="str">
        <f aca="false">IF(M74="","Not built (workbook: do not build)",IFERROR(INDEX(Pages!$F$2:$F$98,MATCH(M74,Pages!$B$2:$B$98,0)),"Not found"))</f>
        <v>Syndicated Mortgage Investment Rules in Canada</v>
      </c>
      <c r="O74" s="15" t="s">
        <v>113</v>
      </c>
      <c r="P74" s="16"/>
      <c r="Q74" s="16"/>
      <c r="R74" s="16"/>
      <c r="S74" s="16"/>
      <c r="T74" s="15"/>
    </row>
    <row r="75" customFormat="false" ht="15" hidden="false" customHeight="false" outlineLevel="0" collapsed="false">
      <c r="A75" s="15" t="s">
        <v>1113</v>
      </c>
      <c r="B75" s="15" t="s">
        <v>1022</v>
      </c>
      <c r="C75" s="15" t="s">
        <v>1102</v>
      </c>
      <c r="D75" s="15" t="s">
        <v>350</v>
      </c>
      <c r="E75" s="15" t="s">
        <v>1058</v>
      </c>
      <c r="F75" s="15" t="s">
        <v>1009</v>
      </c>
      <c r="G75" s="15" t="n">
        <v>4</v>
      </c>
      <c r="H75" s="15" t="n">
        <v>1</v>
      </c>
      <c r="I75" s="15" t="n">
        <f aca="false">IF(AND(ISNUMBER(G75),ISNUMBER(H75)),G75*2-H75,"")</f>
        <v>7</v>
      </c>
      <c r="J75" s="15" t="s">
        <v>1010</v>
      </c>
      <c r="K75" s="15" t="s">
        <v>1011</v>
      </c>
      <c r="L75" s="15" t="s">
        <v>1106</v>
      </c>
      <c r="M75" s="15" t="s">
        <v>766</v>
      </c>
      <c r="N75" s="15" t="str">
        <f aca="false">IF(M75="","Not built (workbook: do not build)",IFERROR(INDEX(Pages!$F$2:$F$98,MATCH(M75,Pages!$B$2:$B$98,0)),"Not found"))</f>
        <v>Mortgage Investment Structures in Canada Compared</v>
      </c>
      <c r="O75" s="15" t="s">
        <v>113</v>
      </c>
      <c r="P75" s="16"/>
      <c r="Q75" s="16"/>
      <c r="R75" s="16"/>
      <c r="S75" s="16"/>
      <c r="T75" s="15"/>
    </row>
    <row r="76" customFormat="false" ht="15" hidden="false" customHeight="false" outlineLevel="0" collapsed="false">
      <c r="A76" s="15" t="s">
        <v>1114</v>
      </c>
      <c r="B76" s="15" t="s">
        <v>1022</v>
      </c>
      <c r="C76" s="15" t="s">
        <v>1102</v>
      </c>
      <c r="D76" s="15" t="s">
        <v>1016</v>
      </c>
      <c r="E76" s="15" t="s">
        <v>1058</v>
      </c>
      <c r="F76" s="15" t="s">
        <v>1009</v>
      </c>
      <c r="G76" s="15" t="n">
        <v>2</v>
      </c>
      <c r="H76" s="15" t="n">
        <v>1</v>
      </c>
      <c r="I76" s="15" t="n">
        <f aca="false">IF(AND(ISNUMBER(G76),ISNUMBER(H76)),G76*2-H76,"")</f>
        <v>3</v>
      </c>
      <c r="J76" s="15" t="s">
        <v>1115</v>
      </c>
      <c r="K76" s="15" t="s">
        <v>1020</v>
      </c>
      <c r="L76" s="15" t="s">
        <v>1106</v>
      </c>
      <c r="M76" s="15" t="s">
        <v>766</v>
      </c>
      <c r="N76" s="15" t="str">
        <f aca="false">IF(M76="","Not built (workbook: do not build)",IFERROR(INDEX(Pages!$F$2:$F$98,MATCH(M76,Pages!$B$2:$B$98,0)),"Not found"))</f>
        <v>Mortgage Investment Structures in Canada Compared</v>
      </c>
      <c r="O76" s="15" t="s">
        <v>113</v>
      </c>
      <c r="P76" s="16"/>
      <c r="Q76" s="16"/>
      <c r="R76" s="16"/>
      <c r="S76" s="16"/>
      <c r="T76" s="15"/>
    </row>
    <row r="77" customFormat="false" ht="15" hidden="false" customHeight="false" outlineLevel="0" collapsed="false">
      <c r="A77" s="15" t="s">
        <v>1116</v>
      </c>
      <c r="B77" s="15" t="s">
        <v>1022</v>
      </c>
      <c r="C77" s="15" t="s">
        <v>1102</v>
      </c>
      <c r="D77" s="15" t="s">
        <v>1016</v>
      </c>
      <c r="E77" s="15" t="s">
        <v>1058</v>
      </c>
      <c r="F77" s="15" t="s">
        <v>1009</v>
      </c>
      <c r="G77" s="15" t="n">
        <v>2</v>
      </c>
      <c r="H77" s="15" t="n">
        <v>1</v>
      </c>
      <c r="I77" s="15" t="n">
        <f aca="false">IF(AND(ISNUMBER(G77),ISNUMBER(H77)),G77*2-H77,"")</f>
        <v>3</v>
      </c>
      <c r="J77" s="15" t="s">
        <v>1115</v>
      </c>
      <c r="K77" s="15" t="s">
        <v>1020</v>
      </c>
      <c r="L77" s="15" t="s">
        <v>1106</v>
      </c>
      <c r="M77" s="15" t="s">
        <v>766</v>
      </c>
      <c r="N77" s="15" t="str">
        <f aca="false">IF(M77="","Not built (workbook: do not build)",IFERROR(INDEX(Pages!$F$2:$F$98,MATCH(M77,Pages!$B$2:$B$98,0)),"Not found"))</f>
        <v>Mortgage Investment Structures in Canada Compared</v>
      </c>
      <c r="O77" s="15" t="s">
        <v>113</v>
      </c>
      <c r="P77" s="16"/>
      <c r="Q77" s="16"/>
      <c r="R77" s="16"/>
      <c r="S77" s="16"/>
      <c r="T77" s="15"/>
    </row>
    <row r="78" customFormat="false" ht="15" hidden="false" customHeight="false" outlineLevel="0" collapsed="false">
      <c r="A78" s="15" t="s">
        <v>1117</v>
      </c>
      <c r="B78" s="15" t="s">
        <v>1022</v>
      </c>
      <c r="C78" s="15" t="s">
        <v>1102</v>
      </c>
      <c r="D78" s="15" t="s">
        <v>1016</v>
      </c>
      <c r="E78" s="15" t="s">
        <v>1027</v>
      </c>
      <c r="F78" s="15" t="s">
        <v>1009</v>
      </c>
      <c r="G78" s="15" t="n">
        <v>3</v>
      </c>
      <c r="H78" s="15" t="n">
        <v>1</v>
      </c>
      <c r="I78" s="15" t="n">
        <f aca="false">IF(AND(ISNUMBER(G78),ISNUMBER(H78)),G78*2-H78,"")</f>
        <v>5</v>
      </c>
      <c r="J78" s="15" t="s">
        <v>1019</v>
      </c>
      <c r="K78" s="15" t="s">
        <v>1020</v>
      </c>
      <c r="L78" s="15" t="s">
        <v>1103</v>
      </c>
      <c r="M78" s="15" t="s">
        <v>549</v>
      </c>
      <c r="N78" s="15" t="str">
        <f aca="false">IF(M78="","Not built (workbook: do not build)",IFERROR(INDEX(Pages!$F$2:$F$98,MATCH(M78,Pages!$B$2:$B$98,0)),"Not found"))</f>
        <v>Mortgage Funds in Canada: How They Differ From a MIC</v>
      </c>
      <c r="O78" s="15" t="s">
        <v>113</v>
      </c>
      <c r="P78" s="16"/>
      <c r="Q78" s="16"/>
      <c r="R78" s="16"/>
      <c r="S78" s="16"/>
      <c r="T78" s="15"/>
    </row>
    <row r="79" customFormat="false" ht="15" hidden="false" customHeight="false" outlineLevel="0" collapsed="false">
      <c r="A79" s="15" t="s">
        <v>1118</v>
      </c>
      <c r="B79" s="15" t="s">
        <v>1022</v>
      </c>
      <c r="C79" s="15" t="s">
        <v>1102</v>
      </c>
      <c r="D79" s="15" t="s">
        <v>350</v>
      </c>
      <c r="E79" s="15" t="s">
        <v>1058</v>
      </c>
      <c r="F79" s="15" t="s">
        <v>1009</v>
      </c>
      <c r="G79" s="15" t="n">
        <v>2</v>
      </c>
      <c r="H79" s="15" t="n">
        <v>1</v>
      </c>
      <c r="I79" s="15" t="n">
        <f aca="false">IF(AND(ISNUMBER(G79),ISNUMBER(H79)),G79*2-H79,"")</f>
        <v>3</v>
      </c>
      <c r="J79" s="15" t="s">
        <v>1115</v>
      </c>
      <c r="K79" s="15" t="s">
        <v>1020</v>
      </c>
      <c r="L79" s="15" t="s">
        <v>1106</v>
      </c>
      <c r="M79" s="15" t="s">
        <v>766</v>
      </c>
      <c r="N79" s="15" t="str">
        <f aca="false">IF(M79="","Not built (workbook: do not build)",IFERROR(INDEX(Pages!$F$2:$F$98,MATCH(M79,Pages!$B$2:$B$98,0)),"Not found"))</f>
        <v>Mortgage Investment Structures in Canada Compared</v>
      </c>
      <c r="O79" s="15" t="s">
        <v>113</v>
      </c>
      <c r="P79" s="16"/>
      <c r="Q79" s="16"/>
      <c r="R79" s="16"/>
      <c r="S79" s="16"/>
      <c r="T79" s="15"/>
    </row>
    <row r="80" customFormat="false" ht="15" hidden="false" customHeight="false" outlineLevel="0" collapsed="false">
      <c r="A80" s="15" t="s">
        <v>335</v>
      </c>
      <c r="B80" s="15" t="s">
        <v>1022</v>
      </c>
      <c r="C80" s="15" t="s">
        <v>1102</v>
      </c>
      <c r="D80" s="15" t="s">
        <v>1065</v>
      </c>
      <c r="E80" s="15" t="s">
        <v>1058</v>
      </c>
      <c r="F80" s="15" t="s">
        <v>1009</v>
      </c>
      <c r="G80" s="15" t="n">
        <v>3</v>
      </c>
      <c r="H80" s="15" t="n">
        <v>1</v>
      </c>
      <c r="I80" s="15" t="n">
        <f aca="false">IF(AND(ISNUMBER(G80),ISNUMBER(H80)),G80*2-H80,"")</f>
        <v>5</v>
      </c>
      <c r="J80" s="15" t="s">
        <v>1019</v>
      </c>
      <c r="K80" s="15" t="s">
        <v>1011</v>
      </c>
      <c r="L80" s="15" t="s">
        <v>1119</v>
      </c>
      <c r="M80" s="15" t="s">
        <v>331</v>
      </c>
      <c r="N80" s="15" t="str">
        <f aca="false">IF(M80="","Not built (workbook: do not build)",IFERROR(INDEX(Pages!$F$2:$F$98,MATCH(M80,Pages!$B$2:$B$98,0)),"Not found"))</f>
        <v>Exempt Market Mortgage Investments and OMs | Lendmax Capital MIC</v>
      </c>
      <c r="O80" s="15" t="s">
        <v>113</v>
      </c>
      <c r="P80" s="16"/>
      <c r="Q80" s="16"/>
      <c r="R80" s="16"/>
      <c r="S80" s="16"/>
      <c r="T80" s="15"/>
    </row>
    <row r="81" customFormat="false" ht="15" hidden="false" customHeight="false" outlineLevel="0" collapsed="false">
      <c r="A81" s="15" t="s">
        <v>1120</v>
      </c>
      <c r="B81" s="15" t="s">
        <v>1022</v>
      </c>
      <c r="C81" s="15" t="s">
        <v>1102</v>
      </c>
      <c r="D81" s="15" t="s">
        <v>1065</v>
      </c>
      <c r="E81" s="15" t="s">
        <v>1058</v>
      </c>
      <c r="F81" s="15" t="s">
        <v>1009</v>
      </c>
      <c r="G81" s="15" t="n">
        <v>3</v>
      </c>
      <c r="H81" s="15" t="n">
        <v>1</v>
      </c>
      <c r="I81" s="15" t="n">
        <f aca="false">IF(AND(ISNUMBER(G81),ISNUMBER(H81)),G81*2-H81,"")</f>
        <v>5</v>
      </c>
      <c r="J81" s="15" t="s">
        <v>1019</v>
      </c>
      <c r="K81" s="15" t="s">
        <v>1011</v>
      </c>
      <c r="L81" s="15" t="s">
        <v>1119</v>
      </c>
      <c r="M81" s="15" t="s">
        <v>331</v>
      </c>
      <c r="N81" s="15" t="str">
        <f aca="false">IF(M81="","Not built (workbook: do not build)",IFERROR(INDEX(Pages!$F$2:$F$98,MATCH(M81,Pages!$B$2:$B$98,0)),"Not found"))</f>
        <v>Exempt Market Mortgage Investments and OMs | Lendmax Capital MIC</v>
      </c>
      <c r="O81" s="15" t="s">
        <v>113</v>
      </c>
      <c r="P81" s="16"/>
      <c r="Q81" s="16"/>
      <c r="R81" s="16"/>
      <c r="S81" s="16"/>
      <c r="T81" s="15"/>
    </row>
    <row r="82" customFormat="false" ht="15" hidden="false" customHeight="false" outlineLevel="0" collapsed="false">
      <c r="A82" s="15" t="s">
        <v>344</v>
      </c>
      <c r="B82" s="15" t="s">
        <v>1015</v>
      </c>
      <c r="C82" s="15" t="s">
        <v>1121</v>
      </c>
      <c r="D82" s="15" t="s">
        <v>1016</v>
      </c>
      <c r="E82" s="15" t="s">
        <v>1058</v>
      </c>
      <c r="F82" s="15" t="s">
        <v>1009</v>
      </c>
      <c r="G82" s="15" t="n">
        <v>5</v>
      </c>
      <c r="H82" s="15" t="n">
        <v>2</v>
      </c>
      <c r="I82" s="15" t="n">
        <f aca="false">IF(AND(ISNUMBER(G82),ISNUMBER(H82)),G82*2-H82,"")</f>
        <v>8</v>
      </c>
      <c r="J82" s="15" t="s">
        <v>1047</v>
      </c>
      <c r="K82" s="15" t="s">
        <v>1011</v>
      </c>
      <c r="L82" s="15" t="s">
        <v>1122</v>
      </c>
      <c r="M82" s="15" t="s">
        <v>340</v>
      </c>
      <c r="N82" s="15" t="str">
        <f aca="false">IF(M82="","Not built (workbook: do not build)",IFERROR(INDEX(Pages!$F$2:$F$98,MATCH(M82,Pages!$B$2:$B$98,0)),"Not found"))</f>
        <v>First Mortgage Investments Explained | Lendmax Capital MIC</v>
      </c>
      <c r="O82" s="15" t="s">
        <v>113</v>
      </c>
      <c r="P82" s="16"/>
      <c r="Q82" s="16"/>
      <c r="R82" s="16"/>
      <c r="S82" s="16"/>
      <c r="T82" s="15"/>
    </row>
    <row r="83" customFormat="false" ht="15" hidden="false" customHeight="false" outlineLevel="0" collapsed="false">
      <c r="A83" s="15" t="s">
        <v>894</v>
      </c>
      <c r="B83" s="15" t="s">
        <v>1015</v>
      </c>
      <c r="C83" s="15" t="s">
        <v>1121</v>
      </c>
      <c r="D83" s="15" t="s">
        <v>1016</v>
      </c>
      <c r="E83" s="15" t="s">
        <v>1058</v>
      </c>
      <c r="F83" s="15" t="s">
        <v>1009</v>
      </c>
      <c r="G83" s="15" t="n">
        <v>5</v>
      </c>
      <c r="H83" s="15" t="n">
        <v>2</v>
      </c>
      <c r="I83" s="15" t="n">
        <f aca="false">IF(AND(ISNUMBER(G83),ISNUMBER(H83)),G83*2-H83,"")</f>
        <v>8</v>
      </c>
      <c r="J83" s="15" t="s">
        <v>1047</v>
      </c>
      <c r="K83" s="15" t="s">
        <v>1011</v>
      </c>
      <c r="L83" s="15" t="s">
        <v>1122</v>
      </c>
      <c r="M83" s="15" t="s">
        <v>890</v>
      </c>
      <c r="N83" s="15" t="str">
        <f aca="false">IF(M83="","Not built (workbook: do not build)",IFERROR(INDEX(Pages!$F$2:$F$98,MATCH(M83,Pages!$B$2:$B$98,0)),"Not found"))</f>
        <v>Second Mortgage Investments: Yield and Risk | Lendmax Capital MIC</v>
      </c>
      <c r="O83" s="15" t="s">
        <v>113</v>
      </c>
      <c r="P83" s="16"/>
      <c r="Q83" s="16"/>
      <c r="R83" s="16"/>
      <c r="S83" s="16"/>
      <c r="T83" s="15"/>
    </row>
    <row r="84" customFormat="false" ht="15" hidden="false" customHeight="false" outlineLevel="0" collapsed="false">
      <c r="A84" s="15" t="s">
        <v>354</v>
      </c>
      <c r="B84" s="15" t="s">
        <v>1022</v>
      </c>
      <c r="C84" s="15" t="s">
        <v>1121</v>
      </c>
      <c r="D84" s="15" t="s">
        <v>350</v>
      </c>
      <c r="E84" s="15" t="s">
        <v>1058</v>
      </c>
      <c r="F84" s="15" t="s">
        <v>1009</v>
      </c>
      <c r="G84" s="15" t="n">
        <v>5</v>
      </c>
      <c r="H84" s="15" t="n">
        <v>1</v>
      </c>
      <c r="I84" s="15" t="n">
        <f aca="false">IF(AND(ISNUMBER(G84),ISNUMBER(H84)),G84*2-H84,"")</f>
        <v>9</v>
      </c>
      <c r="J84" s="15" t="s">
        <v>1047</v>
      </c>
      <c r="K84" s="15" t="s">
        <v>1011</v>
      </c>
      <c r="L84" s="15" t="s">
        <v>1123</v>
      </c>
      <c r="M84" s="15" t="s">
        <v>349</v>
      </c>
      <c r="N84" s="15" t="str">
        <f aca="false">IF(M84="","Not built (workbook: do not build)",IFERROR(INDEX(Pages!$F$2:$F$98,MATCH(M84,Pages!$B$2:$B$98,0)),"Not found"))</f>
        <v>First vs Second Mortgage Investing: What Position Costs</v>
      </c>
      <c r="O84" s="15" t="s">
        <v>113</v>
      </c>
      <c r="P84" s="16"/>
      <c r="Q84" s="16"/>
      <c r="R84" s="16"/>
      <c r="S84" s="16"/>
      <c r="T84" s="15"/>
    </row>
    <row r="85" customFormat="false" ht="15" hidden="false" customHeight="false" outlineLevel="0" collapsed="false">
      <c r="A85" s="15" t="s">
        <v>1124</v>
      </c>
      <c r="B85" s="15" t="s">
        <v>1022</v>
      </c>
      <c r="C85" s="15" t="s">
        <v>1121</v>
      </c>
      <c r="D85" s="15" t="s">
        <v>1016</v>
      </c>
      <c r="E85" s="15" t="s">
        <v>1058</v>
      </c>
      <c r="F85" s="15" t="s">
        <v>1009</v>
      </c>
      <c r="G85" s="15" t="n">
        <v>4</v>
      </c>
      <c r="H85" s="15" t="n">
        <v>1</v>
      </c>
      <c r="I85" s="15" t="n">
        <f aca="false">IF(AND(ISNUMBER(G85),ISNUMBER(H85)),G85*2-H85,"")</f>
        <v>7</v>
      </c>
      <c r="J85" s="15" t="s">
        <v>1010</v>
      </c>
      <c r="K85" s="15" t="s">
        <v>1011</v>
      </c>
      <c r="L85" s="15" t="s">
        <v>1122</v>
      </c>
      <c r="M85" s="15" t="s">
        <v>340</v>
      </c>
      <c r="N85" s="15" t="str">
        <f aca="false">IF(M85="","Not built (workbook: do not build)",IFERROR(INDEX(Pages!$F$2:$F$98,MATCH(M85,Pages!$B$2:$B$98,0)),"Not found"))</f>
        <v>First Mortgage Investments Explained | Lendmax Capital MIC</v>
      </c>
      <c r="O85" s="15" t="s">
        <v>113</v>
      </c>
      <c r="P85" s="16"/>
      <c r="Q85" s="16"/>
      <c r="R85" s="16"/>
      <c r="S85" s="16"/>
      <c r="T85" s="15"/>
    </row>
    <row r="86" customFormat="false" ht="15" hidden="false" customHeight="false" outlineLevel="0" collapsed="false">
      <c r="A86" s="15" t="s">
        <v>1125</v>
      </c>
      <c r="B86" s="15" t="s">
        <v>1022</v>
      </c>
      <c r="C86" s="15" t="s">
        <v>1121</v>
      </c>
      <c r="D86" s="15" t="s">
        <v>1016</v>
      </c>
      <c r="E86" s="15" t="s">
        <v>1058</v>
      </c>
      <c r="F86" s="15" t="s">
        <v>1009</v>
      </c>
      <c r="G86" s="15" t="n">
        <v>4</v>
      </c>
      <c r="H86" s="15" t="n">
        <v>1</v>
      </c>
      <c r="I86" s="15" t="n">
        <f aca="false">IF(AND(ISNUMBER(G86),ISNUMBER(H86)),G86*2-H86,"")</f>
        <v>7</v>
      </c>
      <c r="J86" s="15" t="s">
        <v>1010</v>
      </c>
      <c r="K86" s="15" t="s">
        <v>1011</v>
      </c>
      <c r="L86" s="15" t="s">
        <v>1122</v>
      </c>
      <c r="M86" s="15" t="s">
        <v>890</v>
      </c>
      <c r="N86" s="15" t="str">
        <f aca="false">IF(M86="","Not built (workbook: do not build)",IFERROR(INDEX(Pages!$F$2:$F$98,MATCH(M86,Pages!$B$2:$B$98,0)),"Not found"))</f>
        <v>Second Mortgage Investments: Yield and Risk | Lendmax Capital MIC</v>
      </c>
      <c r="O86" s="15" t="s">
        <v>113</v>
      </c>
      <c r="P86" s="16"/>
      <c r="Q86" s="16"/>
      <c r="R86" s="16"/>
      <c r="S86" s="16"/>
      <c r="T86" s="15"/>
    </row>
    <row r="87" customFormat="false" ht="15" hidden="false" customHeight="false" outlineLevel="0" collapsed="false">
      <c r="A87" s="15" t="s">
        <v>1126</v>
      </c>
      <c r="B87" s="15" t="s">
        <v>1015</v>
      </c>
      <c r="C87" s="15" t="s">
        <v>1121</v>
      </c>
      <c r="D87" s="15" t="s">
        <v>1065</v>
      </c>
      <c r="E87" s="15" t="s">
        <v>1058</v>
      </c>
      <c r="F87" s="15" t="s">
        <v>1009</v>
      </c>
      <c r="G87" s="15" t="n">
        <v>3</v>
      </c>
      <c r="H87" s="15" t="n">
        <v>1</v>
      </c>
      <c r="I87" s="15" t="n">
        <f aca="false">IF(AND(ISNUMBER(G87),ISNUMBER(H87)),G87*2-H87,"")</f>
        <v>5</v>
      </c>
      <c r="J87" s="15" t="s">
        <v>1019</v>
      </c>
      <c r="K87" s="15" t="s">
        <v>1011</v>
      </c>
      <c r="L87" s="15" t="s">
        <v>1127</v>
      </c>
      <c r="M87" s="15" t="s">
        <v>395</v>
      </c>
      <c r="N87" s="15" t="str">
        <f aca="false">IF(M87="","Not built (workbook: do not build)",IFERROR(INDEX(Pages!$F$2:$F$98,MATCH(M87,Pages!$B$2:$B$98,0)),"Not found"))</f>
        <v>How Is a Mortgage Investment Secured? | Lendmax Capital MIC</v>
      </c>
      <c r="O87" s="15" t="s">
        <v>113</v>
      </c>
      <c r="P87" s="16"/>
      <c r="Q87" s="16"/>
      <c r="R87" s="16"/>
      <c r="S87" s="16"/>
      <c r="T87" s="15"/>
    </row>
    <row r="88" customFormat="false" ht="15" hidden="false" customHeight="false" outlineLevel="0" collapsed="false">
      <c r="A88" s="15" t="s">
        <v>1128</v>
      </c>
      <c r="B88" s="15" t="s">
        <v>1022</v>
      </c>
      <c r="C88" s="15" t="s">
        <v>1121</v>
      </c>
      <c r="D88" s="15" t="s">
        <v>1065</v>
      </c>
      <c r="E88" s="15" t="s">
        <v>1084</v>
      </c>
      <c r="F88" s="15" t="s">
        <v>1009</v>
      </c>
      <c r="G88" s="15" t="n">
        <v>2</v>
      </c>
      <c r="H88" s="15" t="n">
        <v>1</v>
      </c>
      <c r="I88" s="15" t="n">
        <f aca="false">IF(AND(ISNUMBER(G88),ISNUMBER(H88)),G88*2-H88,"")</f>
        <v>3</v>
      </c>
      <c r="J88" s="15" t="s">
        <v>1115</v>
      </c>
      <c r="K88" s="15" t="s">
        <v>1020</v>
      </c>
      <c r="L88" s="15" t="s">
        <v>1127</v>
      </c>
      <c r="M88" s="15" t="s">
        <v>395</v>
      </c>
      <c r="N88" s="15" t="str">
        <f aca="false">IF(M88="","Not built (workbook: do not build)",IFERROR(INDEX(Pages!$F$2:$F$98,MATCH(M88,Pages!$B$2:$B$98,0)),"Not found"))</f>
        <v>How Is a Mortgage Investment Secured? | Lendmax Capital MIC</v>
      </c>
      <c r="O88" s="15" t="s">
        <v>113</v>
      </c>
      <c r="P88" s="16"/>
      <c r="Q88" s="16"/>
      <c r="R88" s="16"/>
      <c r="S88" s="16"/>
      <c r="T88" s="15"/>
    </row>
    <row r="89" customFormat="false" ht="15" hidden="false" customHeight="false" outlineLevel="0" collapsed="false">
      <c r="A89" s="15" t="s">
        <v>399</v>
      </c>
      <c r="B89" s="15" t="s">
        <v>1054</v>
      </c>
      <c r="C89" s="15" t="s">
        <v>1121</v>
      </c>
      <c r="D89" s="15" t="s">
        <v>1016</v>
      </c>
      <c r="E89" s="15" t="s">
        <v>1027</v>
      </c>
      <c r="F89" s="15" t="s">
        <v>1009</v>
      </c>
      <c r="G89" s="15" t="n">
        <v>5</v>
      </c>
      <c r="H89" s="15" t="n">
        <v>2</v>
      </c>
      <c r="I89" s="15" t="n">
        <f aca="false">IF(AND(ISNUMBER(G89),ISNUMBER(H89)),G89*2-H89,"")</f>
        <v>8</v>
      </c>
      <c r="J89" s="15" t="s">
        <v>1047</v>
      </c>
      <c r="K89" s="15" t="s">
        <v>1011</v>
      </c>
      <c r="L89" s="15" t="s">
        <v>1127</v>
      </c>
      <c r="M89" s="15" t="s">
        <v>395</v>
      </c>
      <c r="N89" s="15" t="str">
        <f aca="false">IF(M89="","Not built (workbook: do not build)",IFERROR(INDEX(Pages!$F$2:$F$98,MATCH(M89,Pages!$B$2:$B$98,0)),"Not found"))</f>
        <v>How Is a Mortgage Investment Secured? | Lendmax Capital MIC</v>
      </c>
      <c r="O89" s="15" t="s">
        <v>113</v>
      </c>
      <c r="P89" s="16"/>
      <c r="Q89" s="16"/>
      <c r="R89" s="16"/>
      <c r="S89" s="16"/>
      <c r="T89" s="15"/>
    </row>
    <row r="90" customFormat="false" ht="15" hidden="false" customHeight="false" outlineLevel="0" collapsed="false">
      <c r="A90" s="15" t="s">
        <v>1129</v>
      </c>
      <c r="B90" s="15" t="s">
        <v>1022</v>
      </c>
      <c r="C90" s="15" t="s">
        <v>1121</v>
      </c>
      <c r="D90" s="15" t="s">
        <v>1016</v>
      </c>
      <c r="E90" s="15" t="s">
        <v>1058</v>
      </c>
      <c r="F90" s="15" t="s">
        <v>1009</v>
      </c>
      <c r="G90" s="15" t="n">
        <v>3</v>
      </c>
      <c r="H90" s="15" t="n">
        <v>1</v>
      </c>
      <c r="I90" s="15" t="n">
        <f aca="false">IF(AND(ISNUMBER(G90),ISNUMBER(H90)),G90*2-H90,"")</f>
        <v>5</v>
      </c>
      <c r="J90" s="15" t="s">
        <v>1019</v>
      </c>
      <c r="K90" s="15" t="s">
        <v>1020</v>
      </c>
      <c r="L90" s="15" t="s">
        <v>1127</v>
      </c>
      <c r="M90" s="15" t="s">
        <v>395</v>
      </c>
      <c r="N90" s="15" t="str">
        <f aca="false">IF(M90="","Not built (workbook: do not build)",IFERROR(INDEX(Pages!$F$2:$F$98,MATCH(M90,Pages!$B$2:$B$98,0)),"Not found"))</f>
        <v>How Is a Mortgage Investment Secured? | Lendmax Capital MIC</v>
      </c>
      <c r="O90" s="15" t="s">
        <v>113</v>
      </c>
      <c r="P90" s="16"/>
      <c r="Q90" s="16"/>
      <c r="R90" s="16"/>
      <c r="S90" s="16"/>
      <c r="T90" s="15"/>
    </row>
    <row r="91" customFormat="false" ht="15" hidden="false" customHeight="false" outlineLevel="0" collapsed="false">
      <c r="A91" s="15" t="s">
        <v>921</v>
      </c>
      <c r="B91" s="15" t="s">
        <v>1022</v>
      </c>
      <c r="C91" s="15" t="s">
        <v>1121</v>
      </c>
      <c r="D91" s="15" t="s">
        <v>1065</v>
      </c>
      <c r="E91" s="15" t="s">
        <v>1058</v>
      </c>
      <c r="F91" s="15" t="s">
        <v>1009</v>
      </c>
      <c r="G91" s="15" t="n">
        <v>3</v>
      </c>
      <c r="H91" s="15" t="n">
        <v>1</v>
      </c>
      <c r="I91" s="15" t="n">
        <f aca="false">IF(AND(ISNUMBER(G91),ISNUMBER(H91)),G91*2-H91,"")</f>
        <v>5</v>
      </c>
      <c r="J91" s="15" t="s">
        <v>1019</v>
      </c>
      <c r="K91" s="15" t="s">
        <v>1011</v>
      </c>
      <c r="L91" s="15" t="s">
        <v>1130</v>
      </c>
      <c r="M91" s="15" t="s">
        <v>395</v>
      </c>
      <c r="N91" s="15" t="str">
        <f aca="false">IF(M91="","Not built (workbook: do not build)",IFERROR(INDEX(Pages!$F$2:$F$98,MATCH(M91,Pages!$B$2:$B$98,0)),"Not found"))</f>
        <v>How Is a Mortgage Investment Secured? | Lendmax Capital MIC</v>
      </c>
      <c r="O91" s="15" t="s">
        <v>113</v>
      </c>
      <c r="P91" s="16"/>
      <c r="Q91" s="16"/>
      <c r="R91" s="16"/>
      <c r="S91" s="16"/>
      <c r="T91" s="15"/>
    </row>
    <row r="92" customFormat="false" ht="15" hidden="false" customHeight="false" outlineLevel="0" collapsed="false">
      <c r="A92" s="15" t="s">
        <v>1131</v>
      </c>
      <c r="B92" s="15" t="s">
        <v>1022</v>
      </c>
      <c r="C92" s="15" t="s">
        <v>1121</v>
      </c>
      <c r="D92" s="15" t="s">
        <v>1065</v>
      </c>
      <c r="E92" s="15" t="s">
        <v>1058</v>
      </c>
      <c r="F92" s="15" t="s">
        <v>1009</v>
      </c>
      <c r="G92" s="15" t="n">
        <v>3</v>
      </c>
      <c r="H92" s="15" t="n">
        <v>1</v>
      </c>
      <c r="I92" s="15" t="n">
        <f aca="false">IF(AND(ISNUMBER(G92),ISNUMBER(H92)),G92*2-H92,"")</f>
        <v>5</v>
      </c>
      <c r="J92" s="15" t="s">
        <v>1019</v>
      </c>
      <c r="K92" s="15" t="s">
        <v>1011</v>
      </c>
      <c r="L92" s="15" t="s">
        <v>1130</v>
      </c>
      <c r="M92" s="15" t="s">
        <v>917</v>
      </c>
      <c r="N92" s="15" t="str">
        <f aca="false">IF(M92="","Not built (workbook: do not build)",IFERROR(INDEX(Pages!$F$2:$F$98,MATCH(M92,Pages!$B$2:$B$98,0)),"Not found"))</f>
        <v>Title Search for a Mortgage Investment: What to Check</v>
      </c>
      <c r="O92" s="15" t="s">
        <v>113</v>
      </c>
      <c r="P92" s="16"/>
      <c r="Q92" s="16"/>
      <c r="R92" s="16"/>
      <c r="S92" s="16"/>
      <c r="T92" s="15"/>
    </row>
    <row r="93" customFormat="false" ht="15" hidden="false" customHeight="false" outlineLevel="0" collapsed="false">
      <c r="A93" s="15" t="s">
        <v>1132</v>
      </c>
      <c r="B93" s="15" t="s">
        <v>1022</v>
      </c>
      <c r="C93" s="15" t="s">
        <v>1121</v>
      </c>
      <c r="D93" s="15" t="s">
        <v>1065</v>
      </c>
      <c r="E93" s="15" t="s">
        <v>1058</v>
      </c>
      <c r="F93" s="15" t="s">
        <v>1009</v>
      </c>
      <c r="G93" s="15" t="n">
        <v>2</v>
      </c>
      <c r="H93" s="15" t="n">
        <v>1</v>
      </c>
      <c r="I93" s="15" t="n">
        <f aca="false">IF(AND(ISNUMBER(G93),ISNUMBER(H93)),G93*2-H93,"")</f>
        <v>3</v>
      </c>
      <c r="J93" s="15" t="s">
        <v>1115</v>
      </c>
      <c r="K93" s="15" t="s">
        <v>1020</v>
      </c>
      <c r="L93" s="15" t="s">
        <v>1122</v>
      </c>
      <c r="M93" s="15" t="s">
        <v>340</v>
      </c>
      <c r="N93" s="15" t="str">
        <f aca="false">IF(M93="","Not built (workbook: do not build)",IFERROR(INDEX(Pages!$F$2:$F$98,MATCH(M93,Pages!$B$2:$B$98,0)),"Not found"))</f>
        <v>First Mortgage Investments Explained | Lendmax Capital MIC</v>
      </c>
      <c r="O93" s="15" t="s">
        <v>113</v>
      </c>
      <c r="P93" s="16"/>
      <c r="Q93" s="16"/>
      <c r="R93" s="16"/>
      <c r="S93" s="16"/>
      <c r="T93" s="15"/>
    </row>
    <row r="94" customFormat="false" ht="15" hidden="false" customHeight="false" outlineLevel="0" collapsed="false">
      <c r="A94" s="15" t="s">
        <v>1133</v>
      </c>
      <c r="B94" s="15" t="s">
        <v>1022</v>
      </c>
      <c r="C94" s="15" t="s">
        <v>1121</v>
      </c>
      <c r="D94" s="15" t="s">
        <v>1016</v>
      </c>
      <c r="E94" s="15" t="s">
        <v>1058</v>
      </c>
      <c r="F94" s="15" t="s">
        <v>1009</v>
      </c>
      <c r="G94" s="15" t="n">
        <v>2</v>
      </c>
      <c r="H94" s="15" t="n">
        <v>1</v>
      </c>
      <c r="I94" s="15" t="n">
        <f aca="false">IF(AND(ISNUMBER(G94),ISNUMBER(H94)),G94*2-H94,"")</f>
        <v>3</v>
      </c>
      <c r="J94" s="15" t="s">
        <v>1115</v>
      </c>
      <c r="K94" s="15" t="s">
        <v>1020</v>
      </c>
      <c r="L94" s="15" t="s">
        <v>1134</v>
      </c>
      <c r="M94" s="15" t="s">
        <v>183</v>
      </c>
      <c r="N94" s="15" t="str">
        <f aca="false">IF(M94="","Not built (workbook: do not build)",IFERROR(INDEX(Pages!$F$2:$F$98,MATCH(M94,Pages!$B$2:$B$98,0)),"Not found"))</f>
        <v>Mortgage Investment Glossary for Canadian Investors</v>
      </c>
      <c r="O94" s="15" t="s">
        <v>113</v>
      </c>
      <c r="P94" s="16"/>
      <c r="Q94" s="16"/>
      <c r="R94" s="16"/>
      <c r="S94" s="16"/>
      <c r="T94" s="15"/>
    </row>
    <row r="95" customFormat="false" ht="15" hidden="false" customHeight="false" outlineLevel="0" collapsed="false">
      <c r="A95" s="15" t="s">
        <v>868</v>
      </c>
      <c r="B95" s="15" t="s">
        <v>1015</v>
      </c>
      <c r="C95" s="15" t="s">
        <v>1135</v>
      </c>
      <c r="D95" s="15" t="s">
        <v>1016</v>
      </c>
      <c r="E95" s="15" t="s">
        <v>1058</v>
      </c>
      <c r="F95" s="15" t="s">
        <v>1009</v>
      </c>
      <c r="G95" s="15" t="n">
        <v>4</v>
      </c>
      <c r="H95" s="15" t="n">
        <v>2</v>
      </c>
      <c r="I95" s="15" t="n">
        <f aca="false">IF(AND(ISNUMBER(G95),ISNUMBER(H95)),G95*2-H95,"")</f>
        <v>6</v>
      </c>
      <c r="J95" s="15" t="s">
        <v>1010</v>
      </c>
      <c r="K95" s="15" t="s">
        <v>1011</v>
      </c>
      <c r="L95" s="15" t="s">
        <v>1136</v>
      </c>
      <c r="M95" s="15" t="s">
        <v>864</v>
      </c>
      <c r="N95" s="15" t="str">
        <f aca="false">IF(M95="","Not built (workbook: do not build)",IFERROR(INDEX(Pages!$F$2:$F$98,MATCH(M95,Pages!$B$2:$B$98,0)),"Not found"))</f>
        <v>Residential Mortgage Investing in Canada | Lendmax Capital MIC</v>
      </c>
      <c r="O95" s="15" t="s">
        <v>113</v>
      </c>
      <c r="P95" s="16"/>
      <c r="Q95" s="16"/>
      <c r="R95" s="16"/>
      <c r="S95" s="16"/>
      <c r="T95" s="15"/>
    </row>
    <row r="96" customFormat="false" ht="15" hidden="false" customHeight="false" outlineLevel="0" collapsed="false">
      <c r="A96" s="15" t="s">
        <v>281</v>
      </c>
      <c r="B96" s="15" t="s">
        <v>1015</v>
      </c>
      <c r="C96" s="15" t="s">
        <v>1135</v>
      </c>
      <c r="D96" s="15" t="s">
        <v>1016</v>
      </c>
      <c r="E96" s="15" t="s">
        <v>1058</v>
      </c>
      <c r="F96" s="15" t="s">
        <v>1009</v>
      </c>
      <c r="G96" s="15" t="n">
        <v>4</v>
      </c>
      <c r="H96" s="15" t="n">
        <v>2</v>
      </c>
      <c r="I96" s="15" t="n">
        <f aca="false">IF(AND(ISNUMBER(G96),ISNUMBER(H96)),G96*2-H96,"")</f>
        <v>6</v>
      </c>
      <c r="J96" s="15" t="s">
        <v>1010</v>
      </c>
      <c r="K96" s="15" t="s">
        <v>1011</v>
      </c>
      <c r="L96" s="15" t="s">
        <v>1137</v>
      </c>
      <c r="M96" s="15" t="s">
        <v>277</v>
      </c>
      <c r="N96" s="15" t="str">
        <f aca="false">IF(M96="","Not built (workbook: do not build)",IFERROR(INDEX(Pages!$F$2:$F$98,MATCH(M96,Pages!$B$2:$B$98,0)),"Not found"))</f>
        <v>Commercial Mortgage Investing in Canada | Lendmax Capital MIC</v>
      </c>
      <c r="O96" s="15" t="s">
        <v>113</v>
      </c>
      <c r="P96" s="16"/>
      <c r="Q96" s="16"/>
      <c r="R96" s="16"/>
      <c r="S96" s="16"/>
      <c r="T96" s="15"/>
    </row>
    <row r="97" customFormat="false" ht="15" hidden="false" customHeight="false" outlineLevel="0" collapsed="false">
      <c r="A97" s="15" t="s">
        <v>876</v>
      </c>
      <c r="B97" s="15" t="s">
        <v>1022</v>
      </c>
      <c r="C97" s="15" t="s">
        <v>1135</v>
      </c>
      <c r="D97" s="15" t="s">
        <v>350</v>
      </c>
      <c r="E97" s="15" t="s">
        <v>1058</v>
      </c>
      <c r="F97" s="15" t="s">
        <v>1009</v>
      </c>
      <c r="G97" s="15" t="n">
        <v>4</v>
      </c>
      <c r="H97" s="15" t="n">
        <v>1</v>
      </c>
      <c r="I97" s="15" t="n">
        <f aca="false">IF(AND(ISNUMBER(G97),ISNUMBER(H97)),G97*2-H97,"")</f>
        <v>7</v>
      </c>
      <c r="J97" s="15" t="s">
        <v>1010</v>
      </c>
      <c r="K97" s="15" t="s">
        <v>1011</v>
      </c>
      <c r="L97" s="15" t="s">
        <v>1138</v>
      </c>
      <c r="M97" s="15" t="s">
        <v>864</v>
      </c>
      <c r="N97" s="15" t="str">
        <f aca="false">IF(M97="","Not built (workbook: do not build)",IFERROR(INDEX(Pages!$F$2:$F$98,MATCH(M97,Pages!$B$2:$B$98,0)),"Not found"))</f>
        <v>Residential Mortgage Investing in Canada | Lendmax Capital MIC</v>
      </c>
      <c r="O97" s="15" t="s">
        <v>113</v>
      </c>
      <c r="P97" s="16"/>
      <c r="Q97" s="16"/>
      <c r="R97" s="16"/>
      <c r="S97" s="16"/>
      <c r="T97" s="15"/>
    </row>
    <row r="98" customFormat="false" ht="15" hidden="false" customHeight="false" outlineLevel="0" collapsed="false">
      <c r="A98" s="15" t="s">
        <v>290</v>
      </c>
      <c r="B98" s="15" t="s">
        <v>1015</v>
      </c>
      <c r="C98" s="15" t="s">
        <v>1135</v>
      </c>
      <c r="D98" s="15" t="s">
        <v>1016</v>
      </c>
      <c r="E98" s="15" t="s">
        <v>1058</v>
      </c>
      <c r="F98" s="15" t="s">
        <v>1009</v>
      </c>
      <c r="G98" s="15" t="n">
        <v>5</v>
      </c>
      <c r="H98" s="15" t="n">
        <v>1</v>
      </c>
      <c r="I98" s="15" t="n">
        <f aca="false">IF(AND(ISNUMBER(G98),ISNUMBER(H98)),G98*2-H98,"")</f>
        <v>9</v>
      </c>
      <c r="J98" s="15" t="s">
        <v>1047</v>
      </c>
      <c r="K98" s="15" t="s">
        <v>1011</v>
      </c>
      <c r="L98" s="15" t="s">
        <v>1139</v>
      </c>
      <c r="M98" s="15" t="s">
        <v>286</v>
      </c>
      <c r="N98" s="15" t="str">
        <f aca="false">IF(M98="","Not built (workbook: do not build)",IFERROR(INDEX(Pages!$F$2:$F$98,MATCH(M98,Pages!$B$2:$B$98,0)),"Not found"))</f>
        <v>Construction Mortgage Investments: Draws and Holdbacks</v>
      </c>
      <c r="O98" s="15" t="s">
        <v>113</v>
      </c>
      <c r="P98" s="16"/>
      <c r="Q98" s="16"/>
      <c r="R98" s="16"/>
      <c r="S98" s="16"/>
      <c r="T98" s="15"/>
    </row>
    <row r="99" customFormat="false" ht="15" hidden="false" customHeight="false" outlineLevel="0" collapsed="false">
      <c r="A99" s="15" t="s">
        <v>1140</v>
      </c>
      <c r="B99" s="15" t="s">
        <v>1022</v>
      </c>
      <c r="C99" s="15" t="s">
        <v>1135</v>
      </c>
      <c r="D99" s="15" t="s">
        <v>1065</v>
      </c>
      <c r="E99" s="15" t="s">
        <v>1058</v>
      </c>
      <c r="F99" s="15" t="s">
        <v>1009</v>
      </c>
      <c r="G99" s="15" t="n">
        <v>5</v>
      </c>
      <c r="H99" s="15" t="n">
        <v>1</v>
      </c>
      <c r="I99" s="15" t="n">
        <f aca="false">IF(AND(ISNUMBER(G99),ISNUMBER(H99)),G99*2-H99,"")</f>
        <v>9</v>
      </c>
      <c r="J99" s="15" t="s">
        <v>1047</v>
      </c>
      <c r="K99" s="15" t="s">
        <v>1011</v>
      </c>
      <c r="L99" s="15" t="s">
        <v>1139</v>
      </c>
      <c r="M99" s="15" t="s">
        <v>286</v>
      </c>
      <c r="N99" s="15" t="str">
        <f aca="false">IF(M99="","Not built (workbook: do not build)",IFERROR(INDEX(Pages!$F$2:$F$98,MATCH(M99,Pages!$B$2:$B$98,0)),"Not found"))</f>
        <v>Construction Mortgage Investments: Draws and Holdbacks</v>
      </c>
      <c r="O99" s="15" t="s">
        <v>113</v>
      </c>
      <c r="P99" s="16"/>
      <c r="Q99" s="16"/>
      <c r="R99" s="16"/>
      <c r="S99" s="16"/>
      <c r="T99" s="15"/>
    </row>
    <row r="100" customFormat="false" ht="15" hidden="false" customHeight="false" outlineLevel="0" collapsed="false">
      <c r="A100" s="15" t="s">
        <v>317</v>
      </c>
      <c r="B100" s="15" t="s">
        <v>1022</v>
      </c>
      <c r="C100" s="15" t="s">
        <v>1135</v>
      </c>
      <c r="D100" s="15" t="s">
        <v>1016</v>
      </c>
      <c r="E100" s="15" t="s">
        <v>1058</v>
      </c>
      <c r="F100" s="15" t="s">
        <v>1009</v>
      </c>
      <c r="G100" s="15" t="n">
        <v>4</v>
      </c>
      <c r="H100" s="15" t="n">
        <v>1</v>
      </c>
      <c r="I100" s="15" t="n">
        <f aca="false">IF(AND(ISNUMBER(G100),ISNUMBER(H100)),G100*2-H100,"")</f>
        <v>7</v>
      </c>
      <c r="J100" s="15" t="s">
        <v>1010</v>
      </c>
      <c r="K100" s="15" t="s">
        <v>1011</v>
      </c>
      <c r="L100" s="15" t="s">
        <v>1141</v>
      </c>
      <c r="M100" s="15" t="s">
        <v>286</v>
      </c>
      <c r="N100" s="15" t="str">
        <f aca="false">IF(M100="","Not built (workbook: do not build)",IFERROR(INDEX(Pages!$F$2:$F$98,MATCH(M100,Pages!$B$2:$B$98,0)),"Not found"))</f>
        <v>Construction Mortgage Investments: Draws and Holdbacks</v>
      </c>
      <c r="O100" s="15" t="s">
        <v>113</v>
      </c>
      <c r="P100" s="16"/>
      <c r="Q100" s="16"/>
      <c r="R100" s="16"/>
      <c r="S100" s="16"/>
      <c r="T100" s="15"/>
    </row>
    <row r="101" customFormat="false" ht="15" hidden="false" customHeight="false" outlineLevel="0" collapsed="false">
      <c r="A101" s="15" t="s">
        <v>252</v>
      </c>
      <c r="B101" s="15" t="s">
        <v>1015</v>
      </c>
      <c r="C101" s="15" t="s">
        <v>1135</v>
      </c>
      <c r="D101" s="15" t="s">
        <v>1016</v>
      </c>
      <c r="E101" s="15" t="s">
        <v>1058</v>
      </c>
      <c r="F101" s="15" t="s">
        <v>1009</v>
      </c>
      <c r="G101" s="15" t="n">
        <v>4</v>
      </c>
      <c r="H101" s="15" t="n">
        <v>1</v>
      </c>
      <c r="I101" s="15" t="n">
        <f aca="false">IF(AND(ISNUMBER(G101),ISNUMBER(H101)),G101*2-H101,"")</f>
        <v>7</v>
      </c>
      <c r="J101" s="15" t="s">
        <v>1010</v>
      </c>
      <c r="K101" s="15" t="s">
        <v>1011</v>
      </c>
      <c r="L101" s="15" t="s">
        <v>1142</v>
      </c>
      <c r="M101" s="15" t="s">
        <v>246</v>
      </c>
      <c r="N101" s="15" t="str">
        <f aca="false">IF(M101="","Not built (workbook: do not build)",IFERROR(INDEX(Pages!$F$2:$F$98,MATCH(M101,Pages!$B$2:$B$98,0)),"Not found"))</f>
        <v>Bridge Mortgage Investing: How It Works | Lendmax Capital MIC</v>
      </c>
      <c r="O101" s="15" t="s">
        <v>113</v>
      </c>
      <c r="P101" s="16"/>
      <c r="Q101" s="16"/>
      <c r="R101" s="16"/>
      <c r="S101" s="16"/>
      <c r="T101" s="15"/>
    </row>
    <row r="102" customFormat="false" ht="15" hidden="false" customHeight="false" outlineLevel="0" collapsed="false">
      <c r="A102" s="15" t="s">
        <v>1143</v>
      </c>
      <c r="B102" s="15" t="s">
        <v>1022</v>
      </c>
      <c r="C102" s="15" t="s">
        <v>1135</v>
      </c>
      <c r="D102" s="15" t="s">
        <v>1057</v>
      </c>
      <c r="E102" s="15" t="s">
        <v>1058</v>
      </c>
      <c r="F102" s="15" t="s">
        <v>1009</v>
      </c>
      <c r="G102" s="15" t="n">
        <v>4</v>
      </c>
      <c r="H102" s="15" t="n">
        <v>1</v>
      </c>
      <c r="I102" s="15" t="n">
        <f aca="false">IF(AND(ISNUMBER(G102),ISNUMBER(H102)),G102*2-H102,"")</f>
        <v>7</v>
      </c>
      <c r="J102" s="15" t="s">
        <v>1010</v>
      </c>
      <c r="K102" s="15" t="s">
        <v>1011</v>
      </c>
      <c r="L102" s="15" t="s">
        <v>1142</v>
      </c>
      <c r="M102" s="15" t="s">
        <v>246</v>
      </c>
      <c r="N102" s="15" t="str">
        <f aca="false">IF(M102="","Not built (workbook: do not build)",IFERROR(INDEX(Pages!$F$2:$F$98,MATCH(M102,Pages!$B$2:$B$98,0)),"Not found"))</f>
        <v>Bridge Mortgage Investing: How It Works | Lendmax Capital MIC</v>
      </c>
      <c r="O102" s="15" t="s">
        <v>113</v>
      </c>
      <c r="P102" s="16"/>
      <c r="Q102" s="16"/>
      <c r="R102" s="16"/>
      <c r="S102" s="16"/>
      <c r="T102" s="15"/>
    </row>
    <row r="103" customFormat="false" ht="15" hidden="false" customHeight="false" outlineLevel="0" collapsed="false">
      <c r="A103" s="15" t="s">
        <v>1144</v>
      </c>
      <c r="B103" s="15" t="s">
        <v>1022</v>
      </c>
      <c r="C103" s="15" t="s">
        <v>1135</v>
      </c>
      <c r="D103" s="15" t="s">
        <v>1016</v>
      </c>
      <c r="E103" s="15" t="s">
        <v>1058</v>
      </c>
      <c r="F103" s="15" t="s">
        <v>1009</v>
      </c>
      <c r="G103" s="15" t="n">
        <v>3</v>
      </c>
      <c r="H103" s="15" t="n">
        <v>1</v>
      </c>
      <c r="I103" s="15" t="n">
        <f aca="false">IF(AND(ISNUMBER(G103),ISNUMBER(H103)),G103*2-H103,"")</f>
        <v>5</v>
      </c>
      <c r="J103" s="15" t="s">
        <v>1019</v>
      </c>
      <c r="K103" s="15" t="s">
        <v>1020</v>
      </c>
      <c r="L103" s="15" t="s">
        <v>1141</v>
      </c>
      <c r="M103" s="15" t="s">
        <v>313</v>
      </c>
      <c r="N103" s="15" t="str">
        <f aca="false">IF(M103="","Not built (workbook: do not build)",IFERROR(INDEX(Pages!$F$2:$F$98,MATCH(M103,Pages!$B$2:$B$98,0)),"Not found"))</f>
        <v>Development Financing Investment in Canada | Lendmax Capital MIC</v>
      </c>
      <c r="O103" s="15" t="s">
        <v>113</v>
      </c>
      <c r="P103" s="16"/>
      <c r="Q103" s="16"/>
      <c r="R103" s="16"/>
      <c r="S103" s="16"/>
      <c r="T103" s="15"/>
    </row>
    <row r="104" customFormat="false" ht="15" hidden="false" customHeight="false" outlineLevel="0" collapsed="false">
      <c r="A104" s="15" t="s">
        <v>1145</v>
      </c>
      <c r="B104" s="15" t="s">
        <v>1022</v>
      </c>
      <c r="C104" s="15" t="s">
        <v>1135</v>
      </c>
      <c r="D104" s="15" t="s">
        <v>1016</v>
      </c>
      <c r="E104" s="15" t="s">
        <v>1058</v>
      </c>
      <c r="F104" s="15" t="s">
        <v>1009</v>
      </c>
      <c r="G104" s="15" t="n">
        <v>3</v>
      </c>
      <c r="H104" s="15" t="n">
        <v>2</v>
      </c>
      <c r="I104" s="15" t="n">
        <f aca="false">IF(AND(ISNUMBER(G104),ISNUMBER(H104)),G104*2-H104,"")</f>
        <v>4</v>
      </c>
      <c r="J104" s="15" t="s">
        <v>1019</v>
      </c>
      <c r="K104" s="15" t="s">
        <v>1020</v>
      </c>
      <c r="L104" s="15" t="s">
        <v>1146</v>
      </c>
      <c r="M104" s="15" t="s">
        <v>890</v>
      </c>
      <c r="N104" s="15" t="str">
        <f aca="false">IF(M104="","Not built (workbook: do not build)",IFERROR(INDEX(Pages!$F$2:$F$98,MATCH(M104,Pages!$B$2:$B$98,0)),"Not found"))</f>
        <v>Second Mortgage Investments: Yield and Risk | Lendmax Capital MIC</v>
      </c>
      <c r="O104" s="15" t="s">
        <v>113</v>
      </c>
      <c r="P104" s="16"/>
      <c r="Q104" s="16"/>
      <c r="R104" s="16"/>
      <c r="S104" s="16"/>
      <c r="T104" s="15"/>
    </row>
    <row r="105" customFormat="false" ht="15" hidden="false" customHeight="false" outlineLevel="0" collapsed="false">
      <c r="A105" s="15" t="s">
        <v>1147</v>
      </c>
      <c r="B105" s="15" t="s">
        <v>1022</v>
      </c>
      <c r="C105" s="15" t="s">
        <v>1135</v>
      </c>
      <c r="D105" s="15" t="s">
        <v>1016</v>
      </c>
      <c r="E105" s="15" t="s">
        <v>1058</v>
      </c>
      <c r="F105" s="15" t="s">
        <v>1009</v>
      </c>
      <c r="G105" s="15" t="n">
        <v>2</v>
      </c>
      <c r="H105" s="15" t="n">
        <v>3</v>
      </c>
      <c r="I105" s="15" t="n">
        <f aca="false">IF(AND(ISNUMBER(G105),ISNUMBER(H105)),G105*2-H105,"")</f>
        <v>1</v>
      </c>
      <c r="J105" s="15" t="s">
        <v>1115</v>
      </c>
      <c r="K105" s="15" t="s">
        <v>1148</v>
      </c>
      <c r="L105" s="15" t="s">
        <v>157</v>
      </c>
      <c r="M105" s="15"/>
      <c r="N105" s="15" t="str">
        <f aca="false">IF(M105="","Not built (workbook: do not build)",IFERROR(INDEX(Pages!$F$2:$F$98,MATCH(M105,Pages!$B$2:$B$98,0)),"Not found"))</f>
        <v>Not built (workbook: do not build)</v>
      </c>
      <c r="O105" s="15" t="s">
        <v>157</v>
      </c>
      <c r="P105" s="16"/>
      <c r="Q105" s="16"/>
      <c r="R105" s="16"/>
      <c r="S105" s="16"/>
      <c r="T105" s="15"/>
    </row>
    <row r="106" customFormat="false" ht="15" hidden="false" customHeight="false" outlineLevel="0" collapsed="false">
      <c r="A106" s="15" t="s">
        <v>1149</v>
      </c>
      <c r="B106" s="15" t="s">
        <v>1022</v>
      </c>
      <c r="C106" s="15" t="s">
        <v>1135</v>
      </c>
      <c r="D106" s="15" t="s">
        <v>1016</v>
      </c>
      <c r="E106" s="15" t="s">
        <v>1058</v>
      </c>
      <c r="F106" s="15" t="s">
        <v>1009</v>
      </c>
      <c r="G106" s="15" t="n">
        <v>3</v>
      </c>
      <c r="H106" s="15" t="n">
        <v>1</v>
      </c>
      <c r="I106" s="15" t="n">
        <f aca="false">IF(AND(ISNUMBER(G106),ISNUMBER(H106)),G106*2-H106,"")</f>
        <v>5</v>
      </c>
      <c r="J106" s="15" t="s">
        <v>1019</v>
      </c>
      <c r="K106" s="15" t="s">
        <v>1020</v>
      </c>
      <c r="L106" s="15" t="s">
        <v>1059</v>
      </c>
      <c r="M106" s="15" t="s">
        <v>386</v>
      </c>
      <c r="N106" s="15" t="str">
        <f aca="false">IF(M106="","Not built (workbook: do not build)",IFERROR(INDEX(Pages!$F$2:$F$98,MATCH(M106,Pages!$B$2:$B$98,0)),"Not found"))</f>
        <v>How Is Interest Paid to a Mortgage Investor?</v>
      </c>
      <c r="O106" s="15" t="s">
        <v>113</v>
      </c>
      <c r="P106" s="16"/>
      <c r="Q106" s="16"/>
      <c r="R106" s="16"/>
      <c r="S106" s="16"/>
      <c r="T106" s="15"/>
    </row>
    <row r="107" customFormat="false" ht="15" hidden="false" customHeight="false" outlineLevel="0" collapsed="false">
      <c r="A107" s="15" t="s">
        <v>1150</v>
      </c>
      <c r="B107" s="15" t="s">
        <v>1022</v>
      </c>
      <c r="C107" s="15" t="s">
        <v>1135</v>
      </c>
      <c r="D107" s="15" t="s">
        <v>1016</v>
      </c>
      <c r="E107" s="15" t="s">
        <v>1058</v>
      </c>
      <c r="F107" s="15" t="s">
        <v>1009</v>
      </c>
      <c r="G107" s="15" t="n">
        <v>3</v>
      </c>
      <c r="H107" s="15" t="n">
        <v>1</v>
      </c>
      <c r="I107" s="15" t="n">
        <f aca="false">IF(AND(ISNUMBER(G107),ISNUMBER(H107)),G107*2-H107,"")</f>
        <v>5</v>
      </c>
      <c r="J107" s="15" t="s">
        <v>1019</v>
      </c>
      <c r="K107" s="15" t="s">
        <v>1020</v>
      </c>
      <c r="L107" s="15" t="s">
        <v>1137</v>
      </c>
      <c r="M107" s="15" t="s">
        <v>277</v>
      </c>
      <c r="N107" s="15" t="str">
        <f aca="false">IF(M107="","Not built (workbook: do not build)",IFERROR(INDEX(Pages!$F$2:$F$98,MATCH(M107,Pages!$B$2:$B$98,0)),"Not found"))</f>
        <v>Commercial Mortgage Investing in Canada | Lendmax Capital MIC</v>
      </c>
      <c r="O107" s="15" t="s">
        <v>113</v>
      </c>
      <c r="P107" s="16"/>
      <c r="Q107" s="16"/>
      <c r="R107" s="16"/>
      <c r="S107" s="16"/>
      <c r="T107" s="15"/>
    </row>
    <row r="108" customFormat="false" ht="15" hidden="false" customHeight="false" outlineLevel="0" collapsed="false">
      <c r="A108" s="15" t="s">
        <v>1151</v>
      </c>
      <c r="B108" s="15" t="s">
        <v>1022</v>
      </c>
      <c r="C108" s="15" t="s">
        <v>1135</v>
      </c>
      <c r="D108" s="15" t="s">
        <v>1016</v>
      </c>
      <c r="E108" s="15" t="s">
        <v>1058</v>
      </c>
      <c r="F108" s="15" t="s">
        <v>1009</v>
      </c>
      <c r="G108" s="15" t="n">
        <v>2</v>
      </c>
      <c r="H108" s="15" t="n">
        <v>1</v>
      </c>
      <c r="I108" s="15" t="n">
        <f aca="false">IF(AND(ISNUMBER(G108),ISNUMBER(H108)),G108*2-H108,"")</f>
        <v>3</v>
      </c>
      <c r="J108" s="15" t="s">
        <v>1115</v>
      </c>
      <c r="K108" s="15" t="s">
        <v>1148</v>
      </c>
      <c r="L108" s="15" t="s">
        <v>1137</v>
      </c>
      <c r="M108" s="15" t="s">
        <v>277</v>
      </c>
      <c r="N108" s="15" t="str">
        <f aca="false">IF(M108="","Not built (workbook: do not build)",IFERROR(INDEX(Pages!$F$2:$F$98,MATCH(M108,Pages!$B$2:$B$98,0)),"Not found"))</f>
        <v>Commercial Mortgage Investing in Canada | Lendmax Capital MIC</v>
      </c>
      <c r="O108" s="15" t="s">
        <v>113</v>
      </c>
      <c r="P108" s="16"/>
      <c r="Q108" s="16"/>
      <c r="R108" s="16"/>
      <c r="S108" s="16"/>
      <c r="T108" s="15"/>
    </row>
    <row r="109" customFormat="false" ht="15" hidden="false" customHeight="false" outlineLevel="0" collapsed="false">
      <c r="A109" s="15" t="s">
        <v>1152</v>
      </c>
      <c r="B109" s="15" t="s">
        <v>1022</v>
      </c>
      <c r="C109" s="15" t="s">
        <v>1135</v>
      </c>
      <c r="D109" s="15" t="s">
        <v>1065</v>
      </c>
      <c r="E109" s="15" t="s">
        <v>1058</v>
      </c>
      <c r="F109" s="15" t="s">
        <v>1009</v>
      </c>
      <c r="G109" s="15" t="n">
        <v>3</v>
      </c>
      <c r="H109" s="15" t="n">
        <v>1</v>
      </c>
      <c r="I109" s="15" t="n">
        <f aca="false">IF(AND(ISNUMBER(G109),ISNUMBER(H109)),G109*2-H109,"")</f>
        <v>5</v>
      </c>
      <c r="J109" s="15" t="s">
        <v>1019</v>
      </c>
      <c r="K109" s="15" t="s">
        <v>1020</v>
      </c>
      <c r="L109" s="15" t="s">
        <v>1153</v>
      </c>
      <c r="M109" s="15" t="s">
        <v>828</v>
      </c>
      <c r="N109" s="15" t="str">
        <f aca="false">IF(M109="","Not built (workbook: do not build)",IFERROR(INDEX(Pages!$F$2:$F$98,MATCH(M109,Pages!$B$2:$B$98,0)),"Not found"))</f>
        <v>Property Marketability Risk in a Mortgage Investment</v>
      </c>
      <c r="O109" s="15" t="s">
        <v>113</v>
      </c>
      <c r="P109" s="16"/>
      <c r="Q109" s="16"/>
      <c r="R109" s="16"/>
      <c r="S109" s="16"/>
      <c r="T109" s="15"/>
    </row>
    <row r="110" customFormat="false" ht="23.85" hidden="false" customHeight="false" outlineLevel="0" collapsed="false">
      <c r="A110" s="15" t="s">
        <v>142</v>
      </c>
      <c r="B110" s="15" t="s">
        <v>1015</v>
      </c>
      <c r="C110" s="15" t="s">
        <v>1154</v>
      </c>
      <c r="D110" s="15" t="s">
        <v>1057</v>
      </c>
      <c r="E110" s="15" t="s">
        <v>1058</v>
      </c>
      <c r="F110" s="15" t="s">
        <v>1009</v>
      </c>
      <c r="G110" s="15" t="n">
        <v>5</v>
      </c>
      <c r="H110" s="15" t="n">
        <v>3</v>
      </c>
      <c r="I110" s="15" t="n">
        <f aca="false">IF(AND(ISNUMBER(G110),ISNUMBER(H110)),G110*2-H110,"")</f>
        <v>7</v>
      </c>
      <c r="J110" s="15" t="s">
        <v>1010</v>
      </c>
      <c r="K110" s="15" t="s">
        <v>1011</v>
      </c>
      <c r="L110" s="15" t="s">
        <v>1059</v>
      </c>
      <c r="M110" s="15" t="s">
        <v>740</v>
      </c>
      <c r="N110" s="15" t="str">
        <f aca="false">IF(M110="","Not built (workbook: do not build)",IFERROR(INDEX(Pages!$F$2:$F$98,MATCH(M110,Pages!$B$2:$B$98,0)),"Not found"))</f>
        <v>Where Mortgage Investment Returns Come From | Lendmax Capital MIC</v>
      </c>
      <c r="O110" s="15" t="s">
        <v>113</v>
      </c>
      <c r="P110" s="16"/>
      <c r="Q110" s="16"/>
      <c r="R110" s="16"/>
      <c r="S110" s="16"/>
      <c r="T110" s="15"/>
    </row>
    <row r="111" customFormat="false" ht="15" hidden="false" customHeight="false" outlineLevel="0" collapsed="false">
      <c r="A111" s="15" t="s">
        <v>1155</v>
      </c>
      <c r="B111" s="15" t="s">
        <v>1015</v>
      </c>
      <c r="C111" s="15" t="s">
        <v>1154</v>
      </c>
      <c r="D111" s="15" t="s">
        <v>1057</v>
      </c>
      <c r="E111" s="15" t="s">
        <v>1058</v>
      </c>
      <c r="F111" s="15" t="s">
        <v>1009</v>
      </c>
      <c r="G111" s="15" t="n">
        <v>5</v>
      </c>
      <c r="H111" s="15" t="n">
        <v>3</v>
      </c>
      <c r="I111" s="15" t="n">
        <f aca="false">IF(AND(ISNUMBER(G111),ISNUMBER(H111)),G111*2-H111,"")</f>
        <v>7</v>
      </c>
      <c r="J111" s="15" t="s">
        <v>1010</v>
      </c>
      <c r="K111" s="15" t="s">
        <v>1011</v>
      </c>
      <c r="L111" s="15" t="s">
        <v>1059</v>
      </c>
      <c r="M111" s="15" t="s">
        <v>404</v>
      </c>
      <c r="N111" s="15" t="str">
        <f aca="false">IF(M111="","Not built (workbook: do not build)",IFERROR(INDEX(Pages!$F$2:$F$98,MATCH(M111,Pages!$B$2:$B$98,0)),"Not found"))</f>
        <v>How Do Mortgage Investors Make Money? | Lendmax Capital MIC</v>
      </c>
      <c r="O111" s="15" t="s">
        <v>113</v>
      </c>
      <c r="P111" s="16"/>
      <c r="Q111" s="16"/>
      <c r="R111" s="16"/>
      <c r="S111" s="16"/>
      <c r="T111" s="15"/>
    </row>
    <row r="112" customFormat="false" ht="15" hidden="false" customHeight="false" outlineLevel="0" collapsed="false">
      <c r="A112" s="15" t="s">
        <v>624</v>
      </c>
      <c r="B112" s="15" t="s">
        <v>1015</v>
      </c>
      <c r="C112" s="15" t="s">
        <v>1154</v>
      </c>
      <c r="D112" s="15" t="s">
        <v>1057</v>
      </c>
      <c r="E112" s="15" t="s">
        <v>1023</v>
      </c>
      <c r="F112" s="15" t="s">
        <v>1009</v>
      </c>
      <c r="G112" s="15" t="n">
        <v>5</v>
      </c>
      <c r="H112" s="15" t="n">
        <v>3</v>
      </c>
      <c r="I112" s="15" t="n">
        <f aca="false">IF(AND(ISNUMBER(G112),ISNUMBER(H112)),G112*2-H112,"")</f>
        <v>7</v>
      </c>
      <c r="J112" s="15" t="s">
        <v>1010</v>
      </c>
      <c r="K112" s="15" t="s">
        <v>1011</v>
      </c>
      <c r="L112" s="15" t="s">
        <v>1041</v>
      </c>
      <c r="M112" s="15" t="s">
        <v>522</v>
      </c>
      <c r="N112" s="15" t="str">
        <f aca="false">IF(M112="","Not built (workbook: do not build)",IFERROR(INDEX(Pages!$F$2:$F$98,MATCH(M112,Pages!$B$2:$B$98,0)),"Not found"))</f>
        <v>Monthly Income Investments in Canada: Mortgage Cash Flow</v>
      </c>
      <c r="O112" s="15" t="s">
        <v>113</v>
      </c>
      <c r="P112" s="16"/>
      <c r="Q112" s="16"/>
      <c r="R112" s="16"/>
      <c r="S112" s="16"/>
      <c r="T112" s="15"/>
    </row>
    <row r="113" customFormat="false" ht="15" hidden="false" customHeight="false" outlineLevel="0" collapsed="false">
      <c r="A113" s="15" t="s">
        <v>1156</v>
      </c>
      <c r="B113" s="15" t="s">
        <v>1022</v>
      </c>
      <c r="C113" s="15" t="s">
        <v>1154</v>
      </c>
      <c r="D113" s="15" t="s">
        <v>1057</v>
      </c>
      <c r="E113" s="15" t="s">
        <v>1023</v>
      </c>
      <c r="F113" s="15" t="s">
        <v>1009</v>
      </c>
      <c r="G113" s="15" t="n">
        <v>4</v>
      </c>
      <c r="H113" s="15" t="n">
        <v>3</v>
      </c>
      <c r="I113" s="15" t="n">
        <f aca="false">IF(AND(ISNUMBER(G113),ISNUMBER(H113)),G113*2-H113,"")</f>
        <v>5</v>
      </c>
      <c r="J113" s="15" t="s">
        <v>1019</v>
      </c>
      <c r="K113" s="15" t="s">
        <v>1011</v>
      </c>
      <c r="L113" s="15" t="s">
        <v>1041</v>
      </c>
      <c r="M113" s="15" t="s">
        <v>620</v>
      </c>
      <c r="N113" s="15" t="str">
        <f aca="false">IF(M113="","Not built (workbook: do not build)",IFERROR(INDEX(Pages!$F$2:$F$98,MATCH(M113,Pages!$B$2:$B$98,0)),"Not found"))</f>
        <v>Mortgage Passive Income in Canada: How It Works</v>
      </c>
      <c r="O113" s="15" t="s">
        <v>113</v>
      </c>
      <c r="P113" s="16"/>
      <c r="Q113" s="16"/>
      <c r="R113" s="16"/>
      <c r="S113" s="16"/>
      <c r="T113" s="15"/>
    </row>
    <row r="114" customFormat="false" ht="15" hidden="false" customHeight="false" outlineLevel="0" collapsed="false">
      <c r="A114" s="15" t="s">
        <v>1157</v>
      </c>
      <c r="B114" s="15" t="s">
        <v>1015</v>
      </c>
      <c r="C114" s="15" t="s">
        <v>1154</v>
      </c>
      <c r="D114" s="15" t="s">
        <v>1057</v>
      </c>
      <c r="E114" s="15" t="s">
        <v>1058</v>
      </c>
      <c r="F114" s="15" t="s">
        <v>1009</v>
      </c>
      <c r="G114" s="15" t="n">
        <v>4</v>
      </c>
      <c r="H114" s="15" t="n">
        <v>2</v>
      </c>
      <c r="I114" s="15" t="n">
        <f aca="false">IF(AND(ISNUMBER(G114),ISNUMBER(H114)),G114*2-H114,"")</f>
        <v>6</v>
      </c>
      <c r="J114" s="15" t="s">
        <v>1010</v>
      </c>
      <c r="K114" s="15" t="s">
        <v>1011</v>
      </c>
      <c r="L114" s="15" t="s">
        <v>1059</v>
      </c>
      <c r="M114" s="15" t="s">
        <v>522</v>
      </c>
      <c r="N114" s="15" t="str">
        <f aca="false">IF(M114="","Not built (workbook: do not build)",IFERROR(INDEX(Pages!$F$2:$F$98,MATCH(M114,Pages!$B$2:$B$98,0)),"Not found"))</f>
        <v>Monthly Income Investments in Canada: Mortgage Cash Flow</v>
      </c>
      <c r="O114" s="15" t="s">
        <v>113</v>
      </c>
      <c r="P114" s="16"/>
      <c r="Q114" s="16"/>
      <c r="R114" s="16"/>
      <c r="S114" s="16"/>
      <c r="T114" s="15"/>
    </row>
    <row r="115" customFormat="false" ht="15" hidden="false" customHeight="false" outlineLevel="0" collapsed="false">
      <c r="A115" s="15" t="s">
        <v>526</v>
      </c>
      <c r="B115" s="15" t="s">
        <v>1015</v>
      </c>
      <c r="C115" s="15" t="s">
        <v>1154</v>
      </c>
      <c r="D115" s="15" t="s">
        <v>1057</v>
      </c>
      <c r="E115" s="15" t="s">
        <v>1023</v>
      </c>
      <c r="F115" s="15" t="s">
        <v>1009</v>
      </c>
      <c r="G115" s="15" t="n">
        <v>5</v>
      </c>
      <c r="H115" s="15" t="n">
        <v>3</v>
      </c>
      <c r="I115" s="15" t="n">
        <f aca="false">IF(AND(ISNUMBER(G115),ISNUMBER(H115)),G115*2-H115,"")</f>
        <v>7</v>
      </c>
      <c r="J115" s="15" t="s">
        <v>1010</v>
      </c>
      <c r="K115" s="15" t="s">
        <v>1011</v>
      </c>
      <c r="L115" s="15" t="s">
        <v>1158</v>
      </c>
      <c r="M115" s="15" t="s">
        <v>522</v>
      </c>
      <c r="N115" s="15" t="str">
        <f aca="false">IF(M115="","Not built (workbook: do not build)",IFERROR(INDEX(Pages!$F$2:$F$98,MATCH(M115,Pages!$B$2:$B$98,0)),"Not found"))</f>
        <v>Monthly Income Investments in Canada: Mortgage Cash Flow</v>
      </c>
      <c r="O115" s="15" t="s">
        <v>113</v>
      </c>
      <c r="P115" s="16"/>
      <c r="Q115" s="16"/>
      <c r="R115" s="16"/>
      <c r="S115" s="16"/>
      <c r="T115" s="15"/>
    </row>
    <row r="116" customFormat="false" ht="15" hidden="false" customHeight="false" outlineLevel="0" collapsed="false">
      <c r="A116" s="15" t="s">
        <v>1159</v>
      </c>
      <c r="B116" s="15" t="s">
        <v>1022</v>
      </c>
      <c r="C116" s="15" t="s">
        <v>1154</v>
      </c>
      <c r="D116" s="15" t="s">
        <v>1057</v>
      </c>
      <c r="E116" s="15" t="s">
        <v>1058</v>
      </c>
      <c r="F116" s="15" t="s">
        <v>1009</v>
      </c>
      <c r="G116" s="15" t="n">
        <v>4</v>
      </c>
      <c r="H116" s="15" t="n">
        <v>2</v>
      </c>
      <c r="I116" s="15" t="n">
        <f aca="false">IF(AND(ISNUMBER(G116),ISNUMBER(H116)),G116*2-H116,"")</f>
        <v>6</v>
      </c>
      <c r="J116" s="15" t="s">
        <v>1010</v>
      </c>
      <c r="K116" s="15" t="s">
        <v>1011</v>
      </c>
      <c r="L116" s="15" t="s">
        <v>1059</v>
      </c>
      <c r="M116" s="15" t="s">
        <v>386</v>
      </c>
      <c r="N116" s="15" t="str">
        <f aca="false">IF(M116="","Not built (workbook: do not build)",IFERROR(INDEX(Pages!$F$2:$F$98,MATCH(M116,Pages!$B$2:$B$98,0)),"Not found"))</f>
        <v>How Is Interest Paid to a Mortgage Investor?</v>
      </c>
      <c r="O116" s="15" t="s">
        <v>113</v>
      </c>
      <c r="P116" s="16"/>
      <c r="Q116" s="16"/>
      <c r="R116" s="16"/>
      <c r="S116" s="16"/>
      <c r="T116" s="15"/>
    </row>
    <row r="117" customFormat="false" ht="15" hidden="false" customHeight="false" outlineLevel="0" collapsed="false">
      <c r="A117" s="15" t="s">
        <v>408</v>
      </c>
      <c r="B117" s="15" t="s">
        <v>1054</v>
      </c>
      <c r="C117" s="15" t="s">
        <v>1154</v>
      </c>
      <c r="D117" s="15" t="s">
        <v>1016</v>
      </c>
      <c r="E117" s="15" t="s">
        <v>1008</v>
      </c>
      <c r="F117" s="15" t="s">
        <v>1009</v>
      </c>
      <c r="G117" s="15" t="n">
        <v>5</v>
      </c>
      <c r="H117" s="15" t="n">
        <v>2</v>
      </c>
      <c r="I117" s="15" t="n">
        <f aca="false">IF(AND(ISNUMBER(G117),ISNUMBER(H117)),G117*2-H117,"")</f>
        <v>8</v>
      </c>
      <c r="J117" s="15" t="s">
        <v>1047</v>
      </c>
      <c r="K117" s="15" t="s">
        <v>1011</v>
      </c>
      <c r="L117" s="15" t="s">
        <v>1160</v>
      </c>
      <c r="M117" s="15" t="s">
        <v>404</v>
      </c>
      <c r="N117" s="15" t="str">
        <f aca="false">IF(M117="","Not built (workbook: do not build)",IFERROR(INDEX(Pages!$F$2:$F$98,MATCH(M117,Pages!$B$2:$B$98,0)),"Not found"))</f>
        <v>How Do Mortgage Investors Make Money? | Lendmax Capital MIC</v>
      </c>
      <c r="O117" s="15" t="s">
        <v>113</v>
      </c>
      <c r="P117" s="16"/>
      <c r="Q117" s="16"/>
      <c r="R117" s="16"/>
      <c r="S117" s="16"/>
      <c r="T117" s="15"/>
    </row>
    <row r="118" customFormat="false" ht="15" hidden="false" customHeight="false" outlineLevel="0" collapsed="false">
      <c r="A118" s="15" t="s">
        <v>390</v>
      </c>
      <c r="B118" s="15" t="s">
        <v>1054</v>
      </c>
      <c r="C118" s="15" t="s">
        <v>1154</v>
      </c>
      <c r="D118" s="15" t="s">
        <v>1016</v>
      </c>
      <c r="E118" s="15" t="s">
        <v>1027</v>
      </c>
      <c r="F118" s="15" t="s">
        <v>1009</v>
      </c>
      <c r="G118" s="15" t="n">
        <v>4</v>
      </c>
      <c r="H118" s="15" t="n">
        <v>1</v>
      </c>
      <c r="I118" s="15" t="n">
        <f aca="false">IF(AND(ISNUMBER(G118),ISNUMBER(H118)),G118*2-H118,"")</f>
        <v>7</v>
      </c>
      <c r="J118" s="15" t="s">
        <v>1010</v>
      </c>
      <c r="K118" s="15" t="s">
        <v>1011</v>
      </c>
      <c r="L118" s="15" t="s">
        <v>1059</v>
      </c>
      <c r="M118" s="15" t="s">
        <v>386</v>
      </c>
      <c r="N118" s="15" t="str">
        <f aca="false">IF(M118="","Not built (workbook: do not build)",IFERROR(INDEX(Pages!$F$2:$F$98,MATCH(M118,Pages!$B$2:$B$98,0)),"Not found"))</f>
        <v>How Is Interest Paid to a Mortgage Investor?</v>
      </c>
      <c r="O118" s="15" t="s">
        <v>113</v>
      </c>
      <c r="P118" s="16"/>
      <c r="Q118" s="16"/>
      <c r="R118" s="16"/>
      <c r="S118" s="16"/>
      <c r="T118" s="15"/>
    </row>
    <row r="119" customFormat="false" ht="15" hidden="false" customHeight="false" outlineLevel="0" collapsed="false">
      <c r="A119" s="15" t="s">
        <v>1161</v>
      </c>
      <c r="B119" s="15" t="s">
        <v>1022</v>
      </c>
      <c r="C119" s="15" t="s">
        <v>1154</v>
      </c>
      <c r="D119" s="15" t="s">
        <v>1016</v>
      </c>
      <c r="E119" s="15" t="s">
        <v>1058</v>
      </c>
      <c r="F119" s="15" t="s">
        <v>1009</v>
      </c>
      <c r="G119" s="15" t="n">
        <v>4</v>
      </c>
      <c r="H119" s="15" t="n">
        <v>1</v>
      </c>
      <c r="I119" s="15" t="n">
        <f aca="false">IF(AND(ISNUMBER(G119),ISNUMBER(H119)),G119*2-H119,"")</f>
        <v>7</v>
      </c>
      <c r="J119" s="15" t="s">
        <v>1010</v>
      </c>
      <c r="K119" s="15" t="s">
        <v>1011</v>
      </c>
      <c r="L119" s="15" t="s">
        <v>1162</v>
      </c>
      <c r="M119" s="15" t="s">
        <v>377</v>
      </c>
      <c r="N119" s="15" t="str">
        <f aca="false">IF(M119="","Not built (workbook: do not build)",IFERROR(INDEX(Pages!$F$2:$F$98,MATCH(M119,Pages!$B$2:$B$98,0)),"Not found"))</f>
        <v>Net Yield vs Gross Yield on a Mortgage Investment</v>
      </c>
      <c r="O119" s="15" t="s">
        <v>113</v>
      </c>
      <c r="P119" s="16"/>
      <c r="Q119" s="16"/>
      <c r="R119" s="16"/>
      <c r="S119" s="16"/>
      <c r="T119" s="15"/>
    </row>
    <row r="120" customFormat="false" ht="15" hidden="false" customHeight="false" outlineLevel="0" collapsed="false">
      <c r="A120" s="15" t="s">
        <v>381</v>
      </c>
      <c r="B120" s="15" t="s">
        <v>1022</v>
      </c>
      <c r="C120" s="15" t="s">
        <v>1154</v>
      </c>
      <c r="D120" s="15" t="s">
        <v>350</v>
      </c>
      <c r="E120" s="15" t="s">
        <v>1058</v>
      </c>
      <c r="F120" s="15" t="s">
        <v>1009</v>
      </c>
      <c r="G120" s="15" t="n">
        <v>5</v>
      </c>
      <c r="H120" s="15" t="n">
        <v>1</v>
      </c>
      <c r="I120" s="15" t="n">
        <f aca="false">IF(AND(ISNUMBER(G120),ISNUMBER(H120)),G120*2-H120,"")</f>
        <v>9</v>
      </c>
      <c r="J120" s="15" t="s">
        <v>1047</v>
      </c>
      <c r="K120" s="15" t="s">
        <v>1011</v>
      </c>
      <c r="L120" s="15" t="s">
        <v>1162</v>
      </c>
      <c r="M120" s="15" t="s">
        <v>377</v>
      </c>
      <c r="N120" s="15" t="str">
        <f aca="false">IF(M120="","Not built (workbook: do not build)",IFERROR(INDEX(Pages!$F$2:$F$98,MATCH(M120,Pages!$B$2:$B$98,0)),"Not found"))</f>
        <v>Net Yield vs Gross Yield on a Mortgage Investment</v>
      </c>
      <c r="O120" s="15" t="s">
        <v>113</v>
      </c>
      <c r="P120" s="16"/>
      <c r="Q120" s="16"/>
      <c r="R120" s="16"/>
      <c r="S120" s="16"/>
      <c r="T120" s="15"/>
    </row>
    <row r="121" customFormat="false" ht="15" hidden="false" customHeight="false" outlineLevel="0" collapsed="false">
      <c r="A121" s="15" t="s">
        <v>972</v>
      </c>
      <c r="B121" s="15" t="s">
        <v>1022</v>
      </c>
      <c r="C121" s="15" t="s">
        <v>1154</v>
      </c>
      <c r="D121" s="15" t="s">
        <v>1057</v>
      </c>
      <c r="E121" s="15" t="s">
        <v>1058</v>
      </c>
      <c r="F121" s="15" t="s">
        <v>1009</v>
      </c>
      <c r="G121" s="15" t="n">
        <v>5</v>
      </c>
      <c r="H121" s="15" t="n">
        <v>1</v>
      </c>
      <c r="I121" s="15" t="n">
        <f aca="false">IF(AND(ISNUMBER(G121),ISNUMBER(H121)),G121*2-H121,"")</f>
        <v>9</v>
      </c>
      <c r="J121" s="15" t="s">
        <v>1047</v>
      </c>
      <c r="K121" s="15" t="s">
        <v>1011</v>
      </c>
      <c r="L121" s="15" t="s">
        <v>1163</v>
      </c>
      <c r="M121" s="15" t="s">
        <v>377</v>
      </c>
      <c r="N121" s="15" t="str">
        <f aca="false">IF(M121="","Not built (workbook: do not build)",IFERROR(INDEX(Pages!$F$2:$F$98,MATCH(M121,Pages!$B$2:$B$98,0)),"Not found"))</f>
        <v>Net Yield vs Gross Yield on a Mortgage Investment</v>
      </c>
      <c r="O121" s="15" t="s">
        <v>113</v>
      </c>
      <c r="P121" s="16"/>
      <c r="Q121" s="16"/>
      <c r="R121" s="16"/>
      <c r="S121" s="16"/>
      <c r="T121" s="15"/>
    </row>
    <row r="122" customFormat="false" ht="15" hidden="false" customHeight="false" outlineLevel="0" collapsed="false">
      <c r="A122" s="15" t="s">
        <v>981</v>
      </c>
      <c r="B122" s="15" t="s">
        <v>1022</v>
      </c>
      <c r="C122" s="15" t="s">
        <v>1154</v>
      </c>
      <c r="D122" s="15" t="s">
        <v>1057</v>
      </c>
      <c r="E122" s="15" t="s">
        <v>1084</v>
      </c>
      <c r="F122" s="15" t="s">
        <v>1009</v>
      </c>
      <c r="G122" s="15" t="n">
        <v>4</v>
      </c>
      <c r="H122" s="15" t="n">
        <v>1</v>
      </c>
      <c r="I122" s="15" t="n">
        <f aca="false">IF(AND(ISNUMBER(G122),ISNUMBER(H122)),G122*2-H122,"")</f>
        <v>7</v>
      </c>
      <c r="J122" s="15" t="s">
        <v>1010</v>
      </c>
      <c r="K122" s="15" t="s">
        <v>1011</v>
      </c>
      <c r="L122" s="15" t="s">
        <v>1164</v>
      </c>
      <c r="M122" s="15" t="s">
        <v>977</v>
      </c>
      <c r="N122" s="15" t="str">
        <f aca="false">IF(M122="","Not built (workbook: do not build)",IFERROR(INDEX(Pages!$F$2:$F$98,MATCH(M122,Pages!$B$2:$B$98,0)),"Not found"))</f>
        <v>Mortgage Investment Compound Interest: DRIP Calculator</v>
      </c>
      <c r="O122" s="15" t="s">
        <v>113</v>
      </c>
      <c r="P122" s="16"/>
      <c r="Q122" s="16"/>
      <c r="R122" s="16"/>
      <c r="S122" s="16"/>
      <c r="T122" s="15"/>
    </row>
    <row r="123" customFormat="false" ht="15" hidden="false" customHeight="false" outlineLevel="0" collapsed="false">
      <c r="A123" s="15" t="s">
        <v>1165</v>
      </c>
      <c r="B123" s="15" t="s">
        <v>1022</v>
      </c>
      <c r="C123" s="15" t="s">
        <v>1154</v>
      </c>
      <c r="D123" s="15" t="s">
        <v>1016</v>
      </c>
      <c r="E123" s="15" t="s">
        <v>1084</v>
      </c>
      <c r="F123" s="15" t="s">
        <v>1009</v>
      </c>
      <c r="G123" s="15" t="n">
        <v>4</v>
      </c>
      <c r="H123" s="15" t="n">
        <v>1</v>
      </c>
      <c r="I123" s="15" t="n">
        <f aca="false">IF(AND(ISNUMBER(G123),ISNUMBER(H123)),G123*2-H123,"")</f>
        <v>7</v>
      </c>
      <c r="J123" s="15" t="s">
        <v>1010</v>
      </c>
      <c r="K123" s="15" t="s">
        <v>1011</v>
      </c>
      <c r="L123" s="15" t="s">
        <v>1164</v>
      </c>
      <c r="M123" s="15" t="s">
        <v>977</v>
      </c>
      <c r="N123" s="15" t="str">
        <f aca="false">IF(M123="","Not built (workbook: do not build)",IFERROR(INDEX(Pages!$F$2:$F$98,MATCH(M123,Pages!$B$2:$B$98,0)),"Not found"))</f>
        <v>Mortgage Investment Compound Interest: DRIP Calculator</v>
      </c>
      <c r="O123" s="15" t="s">
        <v>113</v>
      </c>
      <c r="P123" s="16"/>
      <c r="Q123" s="16"/>
      <c r="R123" s="16"/>
      <c r="S123" s="16"/>
      <c r="T123" s="15"/>
    </row>
    <row r="124" customFormat="false" ht="15" hidden="false" customHeight="false" outlineLevel="0" collapsed="false">
      <c r="A124" s="15" t="s">
        <v>1166</v>
      </c>
      <c r="B124" s="15" t="s">
        <v>1022</v>
      </c>
      <c r="C124" s="15" t="s">
        <v>1154</v>
      </c>
      <c r="D124" s="15" t="s">
        <v>350</v>
      </c>
      <c r="E124" s="15" t="s">
        <v>1058</v>
      </c>
      <c r="F124" s="15" t="s">
        <v>1009</v>
      </c>
      <c r="G124" s="15" t="n">
        <v>4</v>
      </c>
      <c r="H124" s="15" t="n">
        <v>1</v>
      </c>
      <c r="I124" s="15" t="n">
        <f aca="false">IF(AND(ISNUMBER(G124),ISNUMBER(H124)),G124*2-H124,"")</f>
        <v>7</v>
      </c>
      <c r="J124" s="15" t="s">
        <v>1010</v>
      </c>
      <c r="K124" s="15" t="s">
        <v>1011</v>
      </c>
      <c r="L124" s="15" t="s">
        <v>1164</v>
      </c>
      <c r="M124" s="15" t="s">
        <v>977</v>
      </c>
      <c r="N124" s="15" t="str">
        <f aca="false">IF(M124="","Not built (workbook: do not build)",IFERROR(INDEX(Pages!$F$2:$F$98,MATCH(M124,Pages!$B$2:$B$98,0)),"Not found"))</f>
        <v>Mortgage Investment Compound Interest: DRIP Calculator</v>
      </c>
      <c r="O124" s="15" t="s">
        <v>113</v>
      </c>
      <c r="P124" s="16"/>
      <c r="Q124" s="16"/>
      <c r="R124" s="16"/>
      <c r="S124" s="16"/>
      <c r="T124" s="15"/>
    </row>
    <row r="125" customFormat="false" ht="15" hidden="false" customHeight="false" outlineLevel="0" collapsed="false">
      <c r="A125" s="15" t="s">
        <v>1167</v>
      </c>
      <c r="B125" s="15" t="s">
        <v>1022</v>
      </c>
      <c r="C125" s="15" t="s">
        <v>1154</v>
      </c>
      <c r="D125" s="15" t="s">
        <v>1057</v>
      </c>
      <c r="E125" s="15" t="s">
        <v>1058</v>
      </c>
      <c r="F125" s="15" t="s">
        <v>1009</v>
      </c>
      <c r="G125" s="15" t="n">
        <v>3</v>
      </c>
      <c r="H125" s="15" t="n">
        <v>1</v>
      </c>
      <c r="I125" s="15" t="n">
        <f aca="false">IF(AND(ISNUMBER(G125),ISNUMBER(H125)),G125*2-H125,"")</f>
        <v>5</v>
      </c>
      <c r="J125" s="15" t="s">
        <v>1019</v>
      </c>
      <c r="K125" s="15" t="s">
        <v>1011</v>
      </c>
      <c r="L125" s="15" t="s">
        <v>1162</v>
      </c>
      <c r="M125" s="15" t="s">
        <v>377</v>
      </c>
      <c r="N125" s="15" t="str">
        <f aca="false">IF(M125="","Not built (workbook: do not build)",IFERROR(INDEX(Pages!$F$2:$F$98,MATCH(M125,Pages!$B$2:$B$98,0)),"Not found"))</f>
        <v>Net Yield vs Gross Yield on a Mortgage Investment</v>
      </c>
      <c r="O125" s="15" t="s">
        <v>113</v>
      </c>
      <c r="P125" s="16"/>
      <c r="Q125" s="16"/>
      <c r="R125" s="16"/>
      <c r="S125" s="16"/>
      <c r="T125" s="15"/>
    </row>
    <row r="126" customFormat="false" ht="15" hidden="false" customHeight="false" outlineLevel="0" collapsed="false">
      <c r="A126" s="15" t="s">
        <v>692</v>
      </c>
      <c r="B126" s="15" t="s">
        <v>1015</v>
      </c>
      <c r="C126" s="15" t="s">
        <v>1154</v>
      </c>
      <c r="D126" s="15" t="s">
        <v>1065</v>
      </c>
      <c r="E126" s="15" t="s">
        <v>1058</v>
      </c>
      <c r="F126" s="15" t="s">
        <v>1009</v>
      </c>
      <c r="G126" s="15" t="n">
        <v>5</v>
      </c>
      <c r="H126" s="15" t="n">
        <v>1</v>
      </c>
      <c r="I126" s="15" t="n">
        <f aca="false">IF(AND(ISNUMBER(G126),ISNUMBER(H126)),G126*2-H126,"")</f>
        <v>9</v>
      </c>
      <c r="J126" s="15" t="s">
        <v>1047</v>
      </c>
      <c r="K126" s="15" t="s">
        <v>1011</v>
      </c>
      <c r="L126" s="15" t="s">
        <v>1168</v>
      </c>
      <c r="M126" s="15" t="s">
        <v>688</v>
      </c>
      <c r="N126" s="15" t="str">
        <f aca="false">IF(M126="","Not built (workbook: do not build)",IFERROR(INDEX(Pages!$F$2:$F$98,MATCH(M126,Pages!$B$2:$B$98,0)),"Not found"))</f>
        <v>Mortgage Investment Fees in Canada, Itemized</v>
      </c>
      <c r="O126" s="15" t="s">
        <v>113</v>
      </c>
      <c r="P126" s="16"/>
      <c r="Q126" s="16"/>
      <c r="R126" s="16"/>
      <c r="S126" s="16"/>
      <c r="T126" s="15"/>
    </row>
    <row r="127" customFormat="false" ht="15" hidden="false" customHeight="false" outlineLevel="0" collapsed="false">
      <c r="A127" s="15" t="s">
        <v>1169</v>
      </c>
      <c r="B127" s="15" t="s">
        <v>1022</v>
      </c>
      <c r="C127" s="15" t="s">
        <v>1154</v>
      </c>
      <c r="D127" s="15" t="s">
        <v>1065</v>
      </c>
      <c r="E127" s="15" t="s">
        <v>1058</v>
      </c>
      <c r="F127" s="15" t="s">
        <v>1009</v>
      </c>
      <c r="G127" s="15" t="n">
        <v>4</v>
      </c>
      <c r="H127" s="15" t="n">
        <v>1</v>
      </c>
      <c r="I127" s="15" t="n">
        <f aca="false">IF(AND(ISNUMBER(G127),ISNUMBER(H127)),G127*2-H127,"")</f>
        <v>7</v>
      </c>
      <c r="J127" s="15" t="s">
        <v>1010</v>
      </c>
      <c r="K127" s="15" t="s">
        <v>1011</v>
      </c>
      <c r="L127" s="15" t="s">
        <v>1168</v>
      </c>
      <c r="M127" s="15" t="s">
        <v>688</v>
      </c>
      <c r="N127" s="15" t="str">
        <f aca="false">IF(M127="","Not built (workbook: do not build)",IFERROR(INDEX(Pages!$F$2:$F$98,MATCH(M127,Pages!$B$2:$B$98,0)),"Not found"))</f>
        <v>Mortgage Investment Fees in Canada, Itemized</v>
      </c>
      <c r="O127" s="15" t="s">
        <v>113</v>
      </c>
      <c r="P127" s="16"/>
      <c r="Q127" s="16"/>
      <c r="R127" s="16"/>
      <c r="S127" s="16"/>
      <c r="T127" s="15"/>
    </row>
    <row r="128" customFormat="false" ht="15" hidden="false" customHeight="false" outlineLevel="0" collapsed="false">
      <c r="A128" s="15" t="s">
        <v>1170</v>
      </c>
      <c r="B128" s="15" t="s">
        <v>1022</v>
      </c>
      <c r="C128" s="15" t="s">
        <v>1154</v>
      </c>
      <c r="D128" s="15" t="s">
        <v>1065</v>
      </c>
      <c r="E128" s="15" t="s">
        <v>1058</v>
      </c>
      <c r="F128" s="15" t="s">
        <v>1009</v>
      </c>
      <c r="G128" s="15" t="n">
        <v>3</v>
      </c>
      <c r="H128" s="15" t="n">
        <v>1</v>
      </c>
      <c r="I128" s="15" t="n">
        <f aca="false">IF(AND(ISNUMBER(G128),ISNUMBER(H128)),G128*2-H128,"")</f>
        <v>5</v>
      </c>
      <c r="J128" s="15" t="s">
        <v>1019</v>
      </c>
      <c r="K128" s="15" t="s">
        <v>1020</v>
      </c>
      <c r="L128" s="15" t="s">
        <v>1168</v>
      </c>
      <c r="M128" s="15" t="s">
        <v>688</v>
      </c>
      <c r="N128" s="15" t="str">
        <f aca="false">IF(M128="","Not built (workbook: do not build)",IFERROR(INDEX(Pages!$F$2:$F$98,MATCH(M128,Pages!$B$2:$B$98,0)),"Not found"))</f>
        <v>Mortgage Investment Fees in Canada, Itemized</v>
      </c>
      <c r="O128" s="15" t="s">
        <v>113</v>
      </c>
      <c r="P128" s="16"/>
      <c r="Q128" s="16"/>
      <c r="R128" s="16"/>
      <c r="S128" s="16"/>
      <c r="T128" s="15"/>
    </row>
    <row r="129" customFormat="false" ht="15" hidden="false" customHeight="false" outlineLevel="0" collapsed="false">
      <c r="A129" s="15" t="s">
        <v>1171</v>
      </c>
      <c r="B129" s="15" t="s">
        <v>1022</v>
      </c>
      <c r="C129" s="15" t="s">
        <v>1154</v>
      </c>
      <c r="D129" s="15" t="s">
        <v>1016</v>
      </c>
      <c r="E129" s="15" t="s">
        <v>1058</v>
      </c>
      <c r="F129" s="15" t="s">
        <v>1009</v>
      </c>
      <c r="G129" s="15" t="n">
        <v>3</v>
      </c>
      <c r="H129" s="15" t="n">
        <v>1</v>
      </c>
      <c r="I129" s="15" t="n">
        <f aca="false">IF(AND(ISNUMBER(G129),ISNUMBER(H129)),G129*2-H129,"")</f>
        <v>5</v>
      </c>
      <c r="J129" s="15" t="s">
        <v>1019</v>
      </c>
      <c r="K129" s="15" t="s">
        <v>1020</v>
      </c>
      <c r="L129" s="15" t="s">
        <v>1168</v>
      </c>
      <c r="M129" s="15" t="s">
        <v>688</v>
      </c>
      <c r="N129" s="15" t="str">
        <f aca="false">IF(M129="","Not built (workbook: do not build)",IFERROR(INDEX(Pages!$F$2:$F$98,MATCH(M129,Pages!$B$2:$B$98,0)),"Not found"))</f>
        <v>Mortgage Investment Fees in Canada, Itemized</v>
      </c>
      <c r="O129" s="15" t="s">
        <v>113</v>
      </c>
      <c r="P129" s="16"/>
      <c r="Q129" s="16"/>
      <c r="R129" s="16"/>
      <c r="S129" s="16"/>
      <c r="T129" s="15"/>
    </row>
    <row r="130" customFormat="false" ht="15" hidden="false" customHeight="false" outlineLevel="0" collapsed="false">
      <c r="A130" s="15" t="s">
        <v>787</v>
      </c>
      <c r="B130" s="15" t="s">
        <v>1022</v>
      </c>
      <c r="C130" s="15" t="s">
        <v>1154</v>
      </c>
      <c r="D130" s="15" t="s">
        <v>1016</v>
      </c>
      <c r="E130" s="15" t="s">
        <v>1058</v>
      </c>
      <c r="F130" s="15" t="s">
        <v>1009</v>
      </c>
      <c r="G130" s="15" t="n">
        <v>4</v>
      </c>
      <c r="H130" s="15" t="n">
        <v>1</v>
      </c>
      <c r="I130" s="15" t="n">
        <f aca="false">IF(AND(ISNUMBER(G130),ISNUMBER(H130)),G130*2-H130,"")</f>
        <v>7</v>
      </c>
      <c r="J130" s="15" t="s">
        <v>1010</v>
      </c>
      <c r="K130" s="15" t="s">
        <v>1011</v>
      </c>
      <c r="L130" s="15" t="s">
        <v>1172</v>
      </c>
      <c r="M130" s="15" t="s">
        <v>783</v>
      </c>
      <c r="N130" s="15" t="str">
        <f aca="false">IF(M130="","Not built (workbook: do not build)",IFERROR(INDEX(Pages!$F$2:$F$98,MATCH(M130,Pages!$B$2:$B$98,0)),"Not found"))</f>
        <v>Mortgage Investment Term Length, Renewals and Exits</v>
      </c>
      <c r="O130" s="15" t="s">
        <v>113</v>
      </c>
      <c r="P130" s="16"/>
      <c r="Q130" s="16"/>
      <c r="R130" s="16"/>
      <c r="S130" s="16"/>
      <c r="T130" s="15"/>
    </row>
    <row r="131" customFormat="false" ht="15" hidden="false" customHeight="false" outlineLevel="0" collapsed="false">
      <c r="A131" s="15" t="s">
        <v>1173</v>
      </c>
      <c r="B131" s="15" t="s">
        <v>1022</v>
      </c>
      <c r="C131" s="15" t="s">
        <v>1154</v>
      </c>
      <c r="D131" s="15" t="s">
        <v>1065</v>
      </c>
      <c r="E131" s="15" t="s">
        <v>1084</v>
      </c>
      <c r="F131" s="15" t="s">
        <v>1009</v>
      </c>
      <c r="G131" s="15" t="n">
        <v>4</v>
      </c>
      <c r="H131" s="15" t="n">
        <v>1</v>
      </c>
      <c r="I131" s="15" t="n">
        <f aca="false">IF(AND(ISNUMBER(G131),ISNUMBER(H131)),G131*2-H131,"")</f>
        <v>7</v>
      </c>
      <c r="J131" s="15" t="s">
        <v>1010</v>
      </c>
      <c r="K131" s="15" t="s">
        <v>1011</v>
      </c>
      <c r="L131" s="15" t="s">
        <v>1172</v>
      </c>
      <c r="M131" s="15" t="s">
        <v>783</v>
      </c>
      <c r="N131" s="15" t="str">
        <f aca="false">IF(M131="","Not built (workbook: do not build)",IFERROR(INDEX(Pages!$F$2:$F$98,MATCH(M131,Pages!$B$2:$B$98,0)),"Not found"))</f>
        <v>Mortgage Investment Term Length, Renewals and Exits</v>
      </c>
      <c r="O131" s="15" t="s">
        <v>113</v>
      </c>
      <c r="P131" s="16"/>
      <c r="Q131" s="16"/>
      <c r="R131" s="16"/>
      <c r="S131" s="16"/>
      <c r="T131" s="15"/>
    </row>
    <row r="132" customFormat="false" ht="15" hidden="false" customHeight="false" outlineLevel="0" collapsed="false">
      <c r="A132" s="15" t="s">
        <v>1174</v>
      </c>
      <c r="B132" s="15" t="s">
        <v>1022</v>
      </c>
      <c r="C132" s="15" t="s">
        <v>1154</v>
      </c>
      <c r="D132" s="15" t="s">
        <v>1016</v>
      </c>
      <c r="E132" s="15" t="s">
        <v>1084</v>
      </c>
      <c r="F132" s="15" t="s">
        <v>1009</v>
      </c>
      <c r="G132" s="15" t="n">
        <v>3</v>
      </c>
      <c r="H132" s="15" t="n">
        <v>1</v>
      </c>
      <c r="I132" s="15" t="n">
        <f aca="false">IF(AND(ISNUMBER(G132),ISNUMBER(H132)),G132*2-H132,"")</f>
        <v>5</v>
      </c>
      <c r="J132" s="15" t="s">
        <v>1019</v>
      </c>
      <c r="K132" s="15" t="s">
        <v>1020</v>
      </c>
      <c r="L132" s="15" t="s">
        <v>1172</v>
      </c>
      <c r="M132" s="15" t="s">
        <v>783</v>
      </c>
      <c r="N132" s="15" t="str">
        <f aca="false">IF(M132="","Not built (workbook: do not build)",IFERROR(INDEX(Pages!$F$2:$F$98,MATCH(M132,Pages!$B$2:$B$98,0)),"Not found"))</f>
        <v>Mortgage Investment Term Length, Renewals and Exits</v>
      </c>
      <c r="O132" s="15" t="s">
        <v>113</v>
      </c>
      <c r="P132" s="16"/>
      <c r="Q132" s="16"/>
      <c r="R132" s="16"/>
      <c r="S132" s="16"/>
      <c r="T132" s="15"/>
    </row>
    <row r="133" customFormat="false" ht="15" hidden="false" customHeight="false" outlineLevel="0" collapsed="false">
      <c r="A133" s="15" t="s">
        <v>1175</v>
      </c>
      <c r="B133" s="15" t="s">
        <v>1022</v>
      </c>
      <c r="C133" s="15" t="s">
        <v>1154</v>
      </c>
      <c r="D133" s="15" t="s">
        <v>1016</v>
      </c>
      <c r="E133" s="15" t="s">
        <v>1084</v>
      </c>
      <c r="F133" s="15" t="s">
        <v>1009</v>
      </c>
      <c r="G133" s="15" t="n">
        <v>3</v>
      </c>
      <c r="H133" s="15" t="n">
        <v>1</v>
      </c>
      <c r="I133" s="15" t="n">
        <f aca="false">IF(AND(ISNUMBER(G133),ISNUMBER(H133)),G133*2-H133,"")</f>
        <v>5</v>
      </c>
      <c r="J133" s="15" t="s">
        <v>1019</v>
      </c>
      <c r="K133" s="15" t="s">
        <v>1020</v>
      </c>
      <c r="L133" s="15" t="s">
        <v>1172</v>
      </c>
      <c r="M133" s="15" t="s">
        <v>783</v>
      </c>
      <c r="N133" s="15" t="str">
        <f aca="false">IF(M133="","Not built (workbook: do not build)",IFERROR(INDEX(Pages!$F$2:$F$98,MATCH(M133,Pages!$B$2:$B$98,0)),"Not found"))</f>
        <v>Mortgage Investment Term Length, Renewals and Exits</v>
      </c>
      <c r="O133" s="15" t="s">
        <v>113</v>
      </c>
      <c r="P133" s="16"/>
      <c r="Q133" s="16"/>
      <c r="R133" s="16"/>
      <c r="S133" s="16"/>
      <c r="T133" s="15"/>
    </row>
    <row r="134" customFormat="false" ht="15" hidden="false" customHeight="false" outlineLevel="0" collapsed="false">
      <c r="A134" s="15" t="s">
        <v>859</v>
      </c>
      <c r="B134" s="15" t="s">
        <v>1022</v>
      </c>
      <c r="C134" s="15" t="s">
        <v>1154</v>
      </c>
      <c r="D134" s="15" t="s">
        <v>1065</v>
      </c>
      <c r="E134" s="15" t="s">
        <v>1058</v>
      </c>
      <c r="F134" s="15" t="s">
        <v>1009</v>
      </c>
      <c r="G134" s="15" t="n">
        <v>4</v>
      </c>
      <c r="H134" s="15" t="n">
        <v>1</v>
      </c>
      <c r="I134" s="15" t="n">
        <f aca="false">IF(AND(ISNUMBER(G134),ISNUMBER(H134)),G134*2-H134,"")</f>
        <v>7</v>
      </c>
      <c r="J134" s="15" t="s">
        <v>1010</v>
      </c>
      <c r="K134" s="15" t="s">
        <v>1011</v>
      </c>
      <c r="L134" s="15" t="s">
        <v>1172</v>
      </c>
      <c r="M134" s="15" t="s">
        <v>855</v>
      </c>
      <c r="N134" s="15" t="str">
        <f aca="false">IF(M134="","Not built (workbook: do not build)",IFERROR(INDEX(Pages!$F$2:$F$98,MATCH(M134,Pages!$B$2:$B$98,0)),"Not found"))</f>
        <v>Reinvestment Risk in Mortgage Investing Explained</v>
      </c>
      <c r="O134" s="15" t="s">
        <v>113</v>
      </c>
      <c r="P134" s="16"/>
      <c r="Q134" s="16"/>
      <c r="R134" s="16"/>
      <c r="S134" s="16"/>
      <c r="T134" s="15"/>
    </row>
    <row r="135" customFormat="false" ht="15" hidden="false" customHeight="false" outlineLevel="0" collapsed="false">
      <c r="A135" s="15" t="s">
        <v>272</v>
      </c>
      <c r="B135" s="15" t="s">
        <v>1022</v>
      </c>
      <c r="C135" s="15" t="s">
        <v>1154</v>
      </c>
      <c r="D135" s="15" t="s">
        <v>1016</v>
      </c>
      <c r="E135" s="15" t="s">
        <v>1058</v>
      </c>
      <c r="F135" s="15" t="s">
        <v>1009</v>
      </c>
      <c r="G135" s="15" t="n">
        <v>4</v>
      </c>
      <c r="H135" s="15" t="n">
        <v>2</v>
      </c>
      <c r="I135" s="15" t="n">
        <f aca="false">IF(AND(ISNUMBER(G135),ISNUMBER(H135)),G135*2-H135,"")</f>
        <v>6</v>
      </c>
      <c r="J135" s="15" t="s">
        <v>1010</v>
      </c>
      <c r="K135" s="15" t="s">
        <v>1011</v>
      </c>
      <c r="L135" s="15" t="s">
        <v>1176</v>
      </c>
      <c r="M135" s="15" t="s">
        <v>267</v>
      </c>
      <c r="N135" s="15" t="str">
        <f aca="false">IF(M135="","Not built (workbook: do not build)",IFERROR(INDEX(Pages!$F$2:$F$98,MATCH(M135,Pages!$B$2:$B$98,0)),"Not found"))</f>
        <v>Capital Preservation and Principal Loss in Mortgages</v>
      </c>
      <c r="O135" s="15" t="s">
        <v>113</v>
      </c>
      <c r="P135" s="16"/>
      <c r="Q135" s="16"/>
      <c r="R135" s="16"/>
      <c r="S135" s="16"/>
      <c r="T135" s="15"/>
    </row>
    <row r="136" customFormat="false" ht="15" hidden="false" customHeight="false" outlineLevel="0" collapsed="false">
      <c r="A136" s="15" t="s">
        <v>1177</v>
      </c>
      <c r="B136" s="15" t="s">
        <v>1054</v>
      </c>
      <c r="C136" s="15" t="s">
        <v>1178</v>
      </c>
      <c r="D136" s="15" t="s">
        <v>1016</v>
      </c>
      <c r="E136" s="15" t="s">
        <v>1058</v>
      </c>
      <c r="F136" s="15" t="s">
        <v>1009</v>
      </c>
      <c r="G136" s="15" t="n">
        <v>5</v>
      </c>
      <c r="H136" s="15" t="n">
        <v>2</v>
      </c>
      <c r="I136" s="15" t="n">
        <f aca="false">IF(AND(ISNUMBER(G136),ISNUMBER(H136)),G136*2-H136,"")</f>
        <v>8</v>
      </c>
      <c r="J136" s="15" t="s">
        <v>1047</v>
      </c>
      <c r="K136" s="15" t="s">
        <v>1011</v>
      </c>
      <c r="L136" s="15" t="s">
        <v>1179</v>
      </c>
      <c r="M136" s="15" t="s">
        <v>775</v>
      </c>
      <c r="N136" s="15" t="str">
        <f aca="false">IF(M136="","Not built (workbook: do not build)",IFERROR(INDEX(Pages!$F$2:$F$98,MATCH(M136,Pages!$B$2:$B$98,0)),"Not found"))</f>
        <v>Mortgage Investment Tax Treatment in Canada | Lendmax Capital MIC</v>
      </c>
      <c r="O136" s="15" t="s">
        <v>113</v>
      </c>
      <c r="P136" s="16"/>
      <c r="Q136" s="16"/>
      <c r="R136" s="16"/>
      <c r="S136" s="16"/>
      <c r="T136" s="15"/>
    </row>
    <row r="137" customFormat="false" ht="15" hidden="false" customHeight="false" outlineLevel="0" collapsed="false">
      <c r="A137" s="15" t="s">
        <v>1180</v>
      </c>
      <c r="B137" s="15" t="s">
        <v>1022</v>
      </c>
      <c r="C137" s="15" t="s">
        <v>1178</v>
      </c>
      <c r="D137" s="15" t="s">
        <v>1016</v>
      </c>
      <c r="E137" s="15" t="s">
        <v>1058</v>
      </c>
      <c r="F137" s="15" t="s">
        <v>1009</v>
      </c>
      <c r="G137" s="15" t="n">
        <v>5</v>
      </c>
      <c r="H137" s="15" t="n">
        <v>1</v>
      </c>
      <c r="I137" s="15" t="n">
        <f aca="false">IF(AND(ISNUMBER(G137),ISNUMBER(H137)),G137*2-H137,"")</f>
        <v>9</v>
      </c>
      <c r="J137" s="15" t="s">
        <v>1047</v>
      </c>
      <c r="K137" s="15" t="s">
        <v>1011</v>
      </c>
      <c r="L137" s="15" t="s">
        <v>1179</v>
      </c>
      <c r="M137" s="15" t="s">
        <v>967</v>
      </c>
      <c r="N137" s="15" t="str">
        <f aca="false">IF(M137="","Not built (workbook: do not build)",IFERROR(INDEX(Pages!$F$2:$F$98,MATCH(M137,Pages!$B$2:$B$98,0)),"Not found"))</f>
        <v>After-Tax Yield Calculator for Mortgage Investments</v>
      </c>
      <c r="O137" s="15" t="s">
        <v>113</v>
      </c>
      <c r="P137" s="16"/>
      <c r="Q137" s="16"/>
      <c r="R137" s="16"/>
      <c r="S137" s="16"/>
      <c r="T137" s="15"/>
    </row>
    <row r="138" customFormat="false" ht="15" hidden="false" customHeight="false" outlineLevel="0" collapsed="false">
      <c r="A138" s="15" t="s">
        <v>779</v>
      </c>
      <c r="B138" s="15" t="s">
        <v>1015</v>
      </c>
      <c r="C138" s="15" t="s">
        <v>1178</v>
      </c>
      <c r="D138" s="15" t="s">
        <v>1016</v>
      </c>
      <c r="E138" s="15" t="s">
        <v>1058</v>
      </c>
      <c r="F138" s="15" t="s">
        <v>1009</v>
      </c>
      <c r="G138" s="15" t="n">
        <v>5</v>
      </c>
      <c r="H138" s="15" t="n">
        <v>2</v>
      </c>
      <c r="I138" s="15" t="n">
        <f aca="false">IF(AND(ISNUMBER(G138),ISNUMBER(H138)),G138*2-H138,"")</f>
        <v>8</v>
      </c>
      <c r="J138" s="15" t="s">
        <v>1047</v>
      </c>
      <c r="K138" s="15" t="s">
        <v>1011</v>
      </c>
      <c r="L138" s="15" t="s">
        <v>1179</v>
      </c>
      <c r="M138" s="15" t="s">
        <v>967</v>
      </c>
      <c r="N138" s="15" t="str">
        <f aca="false">IF(M138="","Not built (workbook: do not build)",IFERROR(INDEX(Pages!$F$2:$F$98,MATCH(M138,Pages!$B$2:$B$98,0)),"Not found"))</f>
        <v>After-Tax Yield Calculator for Mortgage Investments</v>
      </c>
      <c r="O138" s="15" t="s">
        <v>113</v>
      </c>
      <c r="P138" s="16"/>
      <c r="Q138" s="16"/>
      <c r="R138" s="16"/>
      <c r="S138" s="16"/>
      <c r="T138" s="15"/>
    </row>
    <row r="139" customFormat="false" ht="15" hidden="false" customHeight="false" outlineLevel="0" collapsed="false">
      <c r="A139" s="15" t="s">
        <v>1181</v>
      </c>
      <c r="B139" s="15" t="s">
        <v>1022</v>
      </c>
      <c r="C139" s="15" t="s">
        <v>1178</v>
      </c>
      <c r="D139" s="15" t="s">
        <v>1016</v>
      </c>
      <c r="E139" s="15" t="s">
        <v>1084</v>
      </c>
      <c r="F139" s="15" t="s">
        <v>1009</v>
      </c>
      <c r="G139" s="15" t="n">
        <v>3</v>
      </c>
      <c r="H139" s="15" t="n">
        <v>1</v>
      </c>
      <c r="I139" s="15" t="n">
        <f aca="false">IF(AND(ISNUMBER(G139),ISNUMBER(H139)),G139*2-H139,"")</f>
        <v>5</v>
      </c>
      <c r="J139" s="15" t="s">
        <v>1019</v>
      </c>
      <c r="K139" s="15" t="s">
        <v>1011</v>
      </c>
      <c r="L139" s="15" t="s">
        <v>1179</v>
      </c>
      <c r="M139" s="15" t="s">
        <v>775</v>
      </c>
      <c r="N139" s="15" t="str">
        <f aca="false">IF(M139="","Not built (workbook: do not build)",IFERROR(INDEX(Pages!$F$2:$F$98,MATCH(M139,Pages!$B$2:$B$98,0)),"Not found"))</f>
        <v>Mortgage Investment Tax Treatment in Canada | Lendmax Capital MIC</v>
      </c>
      <c r="O139" s="15" t="s">
        <v>113</v>
      </c>
      <c r="P139" s="16"/>
      <c r="Q139" s="16"/>
      <c r="R139" s="16"/>
      <c r="S139" s="16"/>
      <c r="T139" s="15"/>
    </row>
    <row r="140" customFormat="false" ht="15" hidden="false" customHeight="false" outlineLevel="0" collapsed="false">
      <c r="A140" s="15" t="s">
        <v>1182</v>
      </c>
      <c r="B140" s="15" t="s">
        <v>1022</v>
      </c>
      <c r="C140" s="15" t="s">
        <v>1178</v>
      </c>
      <c r="D140" s="15" t="s">
        <v>1016</v>
      </c>
      <c r="E140" s="15" t="s">
        <v>1084</v>
      </c>
      <c r="F140" s="15" t="s">
        <v>1009</v>
      </c>
      <c r="G140" s="15" t="n">
        <v>3</v>
      </c>
      <c r="H140" s="15" t="n">
        <v>1</v>
      </c>
      <c r="I140" s="15" t="n">
        <f aca="false">IF(AND(ISNUMBER(G140),ISNUMBER(H140)),G140*2-H140,"")</f>
        <v>5</v>
      </c>
      <c r="J140" s="15" t="s">
        <v>1019</v>
      </c>
      <c r="K140" s="15" t="s">
        <v>1020</v>
      </c>
      <c r="L140" s="15" t="s">
        <v>1179</v>
      </c>
      <c r="M140" s="15" t="s">
        <v>775</v>
      </c>
      <c r="N140" s="15" t="str">
        <f aca="false">IF(M140="","Not built (workbook: do not build)",IFERROR(INDEX(Pages!$F$2:$F$98,MATCH(M140,Pages!$B$2:$B$98,0)),"Not found"))</f>
        <v>Mortgage Investment Tax Treatment in Canada | Lendmax Capital MIC</v>
      </c>
      <c r="O140" s="15" t="s">
        <v>113</v>
      </c>
      <c r="P140" s="16"/>
      <c r="Q140" s="16"/>
      <c r="R140" s="16"/>
      <c r="S140" s="16"/>
      <c r="T140" s="15"/>
    </row>
    <row r="141" customFormat="false" ht="15" hidden="false" customHeight="false" outlineLevel="0" collapsed="false">
      <c r="A141" s="15" t="s">
        <v>1183</v>
      </c>
      <c r="B141" s="15" t="s">
        <v>1054</v>
      </c>
      <c r="C141" s="15" t="s">
        <v>1178</v>
      </c>
      <c r="D141" s="15" t="s">
        <v>1065</v>
      </c>
      <c r="E141" s="15" t="s">
        <v>1058</v>
      </c>
      <c r="F141" s="15" t="s">
        <v>1009</v>
      </c>
      <c r="G141" s="15" t="n">
        <v>5</v>
      </c>
      <c r="H141" s="15" t="n">
        <v>3</v>
      </c>
      <c r="I141" s="15" t="n">
        <f aca="false">IF(AND(ISNUMBER(G141),ISNUMBER(H141)),G141*2-H141,"")</f>
        <v>7</v>
      </c>
      <c r="J141" s="15" t="s">
        <v>1010</v>
      </c>
      <c r="K141" s="15" t="s">
        <v>1011</v>
      </c>
      <c r="L141" s="15" t="s">
        <v>1184</v>
      </c>
      <c r="M141" s="15" t="s">
        <v>881</v>
      </c>
      <c r="N141" s="15" t="str">
        <f aca="false">IF(M141="","Not built (workbook: do not build)",IFERROR(INDEX(Pages!$F$2:$F$98,MATCH(M141,Pages!$B$2:$B$98,0)),"Not found"))</f>
        <v>RRSP Mortgage Investment Rules in Canada (TFSA, RRIF)</v>
      </c>
      <c r="O141" s="15" t="s">
        <v>113</v>
      </c>
      <c r="P141" s="16"/>
      <c r="Q141" s="16"/>
      <c r="R141" s="16"/>
      <c r="S141" s="16"/>
      <c r="T141" s="15"/>
    </row>
    <row r="142" customFormat="false" ht="15" hidden="false" customHeight="false" outlineLevel="0" collapsed="false">
      <c r="A142" s="15" t="s">
        <v>1185</v>
      </c>
      <c r="B142" s="15" t="s">
        <v>1054</v>
      </c>
      <c r="C142" s="15" t="s">
        <v>1178</v>
      </c>
      <c r="D142" s="15" t="s">
        <v>1065</v>
      </c>
      <c r="E142" s="15" t="s">
        <v>1058</v>
      </c>
      <c r="F142" s="15" t="s">
        <v>1009</v>
      </c>
      <c r="G142" s="15" t="n">
        <v>5</v>
      </c>
      <c r="H142" s="15" t="n">
        <v>3</v>
      </c>
      <c r="I142" s="15" t="n">
        <f aca="false">IF(AND(ISNUMBER(G142),ISNUMBER(H142)),G142*2-H142,"")</f>
        <v>7</v>
      </c>
      <c r="J142" s="15" t="s">
        <v>1010</v>
      </c>
      <c r="K142" s="15" t="s">
        <v>1011</v>
      </c>
      <c r="L142" s="15" t="s">
        <v>1184</v>
      </c>
      <c r="M142" s="15" t="s">
        <v>881</v>
      </c>
      <c r="N142" s="15" t="str">
        <f aca="false">IF(M142="","Not built (workbook: do not build)",IFERROR(INDEX(Pages!$F$2:$F$98,MATCH(M142,Pages!$B$2:$B$98,0)),"Not found"))</f>
        <v>RRSP Mortgage Investment Rules in Canada (TFSA, RRIF)</v>
      </c>
      <c r="O142" s="15" t="s">
        <v>113</v>
      </c>
      <c r="P142" s="16"/>
      <c r="Q142" s="16"/>
      <c r="R142" s="16"/>
      <c r="S142" s="16"/>
      <c r="T142" s="15"/>
    </row>
    <row r="143" customFormat="false" ht="15" hidden="false" customHeight="false" outlineLevel="0" collapsed="false">
      <c r="A143" s="15" t="s">
        <v>1186</v>
      </c>
      <c r="B143" s="15" t="s">
        <v>1054</v>
      </c>
      <c r="C143" s="15" t="s">
        <v>1178</v>
      </c>
      <c r="D143" s="15" t="s">
        <v>1065</v>
      </c>
      <c r="E143" s="15" t="s">
        <v>1058</v>
      </c>
      <c r="F143" s="15" t="s">
        <v>1009</v>
      </c>
      <c r="G143" s="15" t="n">
        <v>5</v>
      </c>
      <c r="H143" s="15" t="n">
        <v>2</v>
      </c>
      <c r="I143" s="15" t="n">
        <f aca="false">IF(AND(ISNUMBER(G143),ISNUMBER(H143)),G143*2-H143,"")</f>
        <v>8</v>
      </c>
      <c r="J143" s="15" t="s">
        <v>1047</v>
      </c>
      <c r="K143" s="15" t="s">
        <v>1011</v>
      </c>
      <c r="L143" s="15" t="s">
        <v>1184</v>
      </c>
      <c r="M143" s="15" t="s">
        <v>881</v>
      </c>
      <c r="N143" s="15" t="str">
        <f aca="false">IF(M143="","Not built (workbook: do not build)",IFERROR(INDEX(Pages!$F$2:$F$98,MATCH(M143,Pages!$B$2:$B$98,0)),"Not found"))</f>
        <v>RRSP Mortgage Investment Rules in Canada (TFSA, RRIF)</v>
      </c>
      <c r="O143" s="15" t="s">
        <v>113</v>
      </c>
      <c r="P143" s="16"/>
      <c r="Q143" s="16"/>
      <c r="R143" s="16"/>
      <c r="S143" s="16"/>
      <c r="T143" s="15"/>
    </row>
    <row r="144" customFormat="false" ht="15" hidden="false" customHeight="false" outlineLevel="0" collapsed="false">
      <c r="A144" s="15" t="s">
        <v>1187</v>
      </c>
      <c r="B144" s="15" t="s">
        <v>1022</v>
      </c>
      <c r="C144" s="15" t="s">
        <v>1178</v>
      </c>
      <c r="D144" s="15" t="s">
        <v>1065</v>
      </c>
      <c r="E144" s="15" t="s">
        <v>1058</v>
      </c>
      <c r="F144" s="15" t="s">
        <v>1009</v>
      </c>
      <c r="G144" s="15" t="n">
        <v>5</v>
      </c>
      <c r="H144" s="15" t="n">
        <v>2</v>
      </c>
      <c r="I144" s="15" t="n">
        <f aca="false">IF(AND(ISNUMBER(G144),ISNUMBER(H144)),G144*2-H144,"")</f>
        <v>8</v>
      </c>
      <c r="J144" s="15" t="s">
        <v>1047</v>
      </c>
      <c r="K144" s="15" t="s">
        <v>1011</v>
      </c>
      <c r="L144" s="15" t="s">
        <v>1184</v>
      </c>
      <c r="M144" s="15" t="s">
        <v>881</v>
      </c>
      <c r="N144" s="15" t="str">
        <f aca="false">IF(M144="","Not built (workbook: do not build)",IFERROR(INDEX(Pages!$F$2:$F$98,MATCH(M144,Pages!$B$2:$B$98,0)),"Not found"))</f>
        <v>RRSP Mortgage Investment Rules in Canada (TFSA, RRIF)</v>
      </c>
      <c r="O144" s="15" t="s">
        <v>113</v>
      </c>
      <c r="P144" s="16"/>
      <c r="Q144" s="16"/>
      <c r="R144" s="16"/>
      <c r="S144" s="16"/>
      <c r="T144" s="15"/>
    </row>
    <row r="145" customFormat="false" ht="15" hidden="false" customHeight="false" outlineLevel="0" collapsed="false">
      <c r="A145" s="15" t="s">
        <v>823</v>
      </c>
      <c r="B145" s="15" t="s">
        <v>1022</v>
      </c>
      <c r="C145" s="15" t="s">
        <v>1178</v>
      </c>
      <c r="D145" s="15" t="s">
        <v>1065</v>
      </c>
      <c r="E145" s="15" t="s">
        <v>1058</v>
      </c>
      <c r="F145" s="15" t="s">
        <v>1009</v>
      </c>
      <c r="G145" s="15" t="n">
        <v>5</v>
      </c>
      <c r="H145" s="15" t="n">
        <v>1</v>
      </c>
      <c r="I145" s="15" t="n">
        <f aca="false">IF(AND(ISNUMBER(G145),ISNUMBER(H145)),G145*2-H145,"")</f>
        <v>9</v>
      </c>
      <c r="J145" s="15" t="s">
        <v>1047</v>
      </c>
      <c r="K145" s="15" t="s">
        <v>1011</v>
      </c>
      <c r="L145" s="15" t="s">
        <v>1188</v>
      </c>
      <c r="M145" s="15" t="s">
        <v>819</v>
      </c>
      <c r="N145" s="15" t="str">
        <f aca="false">IF(M145="","Not built (workbook: do not build)",IFERROR(INDEX(Pages!$F$2:$F$98,MATCH(M145,Pages!$B$2:$B$98,0)),"Not found"))</f>
        <v>Prohibited Investment Rules: RRSPs, Mortgages and MICs</v>
      </c>
      <c r="O145" s="15" t="s">
        <v>113</v>
      </c>
      <c r="P145" s="16"/>
      <c r="Q145" s="16"/>
      <c r="R145" s="16"/>
      <c r="S145" s="16"/>
      <c r="T145" s="15"/>
    </row>
    <row r="146" customFormat="false" ht="15" hidden="false" customHeight="false" outlineLevel="0" collapsed="false">
      <c r="A146" s="15" t="s">
        <v>1189</v>
      </c>
      <c r="B146" s="15" t="s">
        <v>1022</v>
      </c>
      <c r="C146" s="15" t="s">
        <v>1178</v>
      </c>
      <c r="D146" s="15" t="s">
        <v>1065</v>
      </c>
      <c r="E146" s="15" t="s">
        <v>1058</v>
      </c>
      <c r="F146" s="15" t="s">
        <v>1009</v>
      </c>
      <c r="G146" s="15" t="n">
        <v>4</v>
      </c>
      <c r="H146" s="15" t="n">
        <v>1</v>
      </c>
      <c r="I146" s="15" t="n">
        <f aca="false">IF(AND(ISNUMBER(G146),ISNUMBER(H146)),G146*2-H146,"")</f>
        <v>7</v>
      </c>
      <c r="J146" s="15" t="s">
        <v>1010</v>
      </c>
      <c r="K146" s="15" t="s">
        <v>1011</v>
      </c>
      <c r="L146" s="15" t="s">
        <v>1188</v>
      </c>
      <c r="M146" s="15" t="s">
        <v>819</v>
      </c>
      <c r="N146" s="15" t="str">
        <f aca="false">IF(M146="","Not built (workbook: do not build)",IFERROR(INDEX(Pages!$F$2:$F$98,MATCH(M146,Pages!$B$2:$B$98,0)),"Not found"))</f>
        <v>Prohibited Investment Rules: RRSPs, Mortgages and MICs</v>
      </c>
      <c r="O146" s="15" t="s">
        <v>113</v>
      </c>
      <c r="P146" s="16"/>
      <c r="Q146" s="16"/>
      <c r="R146" s="16"/>
      <c r="S146" s="16"/>
      <c r="T146" s="15"/>
    </row>
    <row r="147" customFormat="false" ht="15" hidden="false" customHeight="false" outlineLevel="0" collapsed="false">
      <c r="A147" s="15" t="s">
        <v>1190</v>
      </c>
      <c r="B147" s="15" t="s">
        <v>1022</v>
      </c>
      <c r="C147" s="15" t="s">
        <v>1178</v>
      </c>
      <c r="D147" s="15" t="s">
        <v>1065</v>
      </c>
      <c r="E147" s="15" t="s">
        <v>1058</v>
      </c>
      <c r="F147" s="15" t="s">
        <v>1009</v>
      </c>
      <c r="G147" s="15" t="n">
        <v>4</v>
      </c>
      <c r="H147" s="15" t="n">
        <v>1</v>
      </c>
      <c r="I147" s="15" t="n">
        <f aca="false">IF(AND(ISNUMBER(G147),ISNUMBER(H147)),G147*2-H147,"")</f>
        <v>7</v>
      </c>
      <c r="J147" s="15" t="s">
        <v>1010</v>
      </c>
      <c r="K147" s="15" t="s">
        <v>1011</v>
      </c>
      <c r="L147" s="15" t="s">
        <v>1188</v>
      </c>
      <c r="M147" s="15" t="s">
        <v>819</v>
      </c>
      <c r="N147" s="15" t="str">
        <f aca="false">IF(M147="","Not built (workbook: do not build)",IFERROR(INDEX(Pages!$F$2:$F$98,MATCH(M147,Pages!$B$2:$B$98,0)),"Not found"))</f>
        <v>Prohibited Investment Rules: RRSPs, Mortgages and MICs</v>
      </c>
      <c r="O147" s="15" t="s">
        <v>113</v>
      </c>
      <c r="P147" s="16"/>
      <c r="Q147" s="16"/>
      <c r="R147" s="16"/>
      <c r="S147" s="16"/>
      <c r="T147" s="15"/>
    </row>
    <row r="148" customFormat="false" ht="15" hidden="false" customHeight="false" outlineLevel="0" collapsed="false">
      <c r="A148" s="15" t="s">
        <v>885</v>
      </c>
      <c r="B148" s="15" t="s">
        <v>1022</v>
      </c>
      <c r="C148" s="15" t="s">
        <v>1178</v>
      </c>
      <c r="D148" s="15" t="s">
        <v>1065</v>
      </c>
      <c r="E148" s="15" t="s">
        <v>1058</v>
      </c>
      <c r="F148" s="15" t="s">
        <v>1009</v>
      </c>
      <c r="G148" s="15" t="n">
        <v>5</v>
      </c>
      <c r="H148" s="15" t="n">
        <v>2</v>
      </c>
      <c r="I148" s="15" t="n">
        <f aca="false">IF(AND(ISNUMBER(G148),ISNUMBER(H148)),G148*2-H148,"")</f>
        <v>8</v>
      </c>
      <c r="J148" s="15" t="s">
        <v>1047</v>
      </c>
      <c r="K148" s="15" t="s">
        <v>1011</v>
      </c>
      <c r="L148" s="15" t="s">
        <v>1184</v>
      </c>
      <c r="M148" s="15" t="s">
        <v>881</v>
      </c>
      <c r="N148" s="15" t="str">
        <f aca="false">IF(M148="","Not built (workbook: do not build)",IFERROR(INDEX(Pages!$F$2:$F$98,MATCH(M148,Pages!$B$2:$B$98,0)),"Not found"))</f>
        <v>RRSP Mortgage Investment Rules in Canada (TFSA, RRIF)</v>
      </c>
      <c r="O148" s="15" t="s">
        <v>113</v>
      </c>
      <c r="P148" s="16"/>
      <c r="Q148" s="16"/>
      <c r="R148" s="16"/>
      <c r="S148" s="16"/>
      <c r="T148" s="15"/>
    </row>
    <row r="149" customFormat="false" ht="15" hidden="false" customHeight="false" outlineLevel="0" collapsed="false">
      <c r="A149" s="15" t="s">
        <v>1191</v>
      </c>
      <c r="B149" s="15" t="s">
        <v>1022</v>
      </c>
      <c r="C149" s="15" t="s">
        <v>1178</v>
      </c>
      <c r="D149" s="15" t="s">
        <v>1065</v>
      </c>
      <c r="E149" s="15" t="s">
        <v>1058</v>
      </c>
      <c r="F149" s="15" t="s">
        <v>1009</v>
      </c>
      <c r="G149" s="15" t="n">
        <v>3</v>
      </c>
      <c r="H149" s="15" t="n">
        <v>1</v>
      </c>
      <c r="I149" s="15" t="n">
        <f aca="false">IF(AND(ISNUMBER(G149),ISNUMBER(H149)),G149*2-H149,"")</f>
        <v>5</v>
      </c>
      <c r="J149" s="15" t="s">
        <v>1019</v>
      </c>
      <c r="K149" s="15" t="s">
        <v>1020</v>
      </c>
      <c r="L149" s="15" t="s">
        <v>1184</v>
      </c>
      <c r="M149" s="15" t="s">
        <v>881</v>
      </c>
      <c r="N149" s="15" t="str">
        <f aca="false">IF(M149="","Not built (workbook: do not build)",IFERROR(INDEX(Pages!$F$2:$F$98,MATCH(M149,Pages!$B$2:$B$98,0)),"Not found"))</f>
        <v>RRSP Mortgage Investment Rules in Canada (TFSA, RRIF)</v>
      </c>
      <c r="O149" s="15" t="s">
        <v>113</v>
      </c>
      <c r="P149" s="16"/>
      <c r="Q149" s="16"/>
      <c r="R149" s="16"/>
      <c r="S149" s="16"/>
      <c r="T149" s="15"/>
    </row>
    <row r="150" customFormat="false" ht="23.85" hidden="false" customHeight="false" outlineLevel="0" collapsed="false">
      <c r="A150" s="15" t="s">
        <v>299</v>
      </c>
      <c r="B150" s="15" t="s">
        <v>1022</v>
      </c>
      <c r="C150" s="15" t="s">
        <v>1178</v>
      </c>
      <c r="D150" s="15" t="s">
        <v>1051</v>
      </c>
      <c r="E150" s="15" t="s">
        <v>1058</v>
      </c>
      <c r="F150" s="15" t="s">
        <v>1009</v>
      </c>
      <c r="G150" s="15" t="n">
        <v>4</v>
      </c>
      <c r="H150" s="15" t="n">
        <v>1</v>
      </c>
      <c r="I150" s="15" t="n">
        <f aca="false">IF(AND(ISNUMBER(G150),ISNUMBER(H150)),G150*2-H150,"")</f>
        <v>7</v>
      </c>
      <c r="J150" s="15" t="s">
        <v>1010</v>
      </c>
      <c r="K150" s="15" t="s">
        <v>1011</v>
      </c>
      <c r="L150" s="15" t="s">
        <v>1192</v>
      </c>
      <c r="M150" s="15" t="s">
        <v>295</v>
      </c>
      <c r="N150" s="15" t="str">
        <f aca="false">IF(M150="","Not built (workbook: do not build)",IFERROR(INDEX(Pages!$F$2:$F$98,MATCH(M150,Pages!$B$2:$B$98,0)),"Not found"))</f>
        <v>Corporate Investment in Mortgages in Canada | Lendmax Capital MIC</v>
      </c>
      <c r="O150" s="15" t="s">
        <v>113</v>
      </c>
      <c r="P150" s="16"/>
      <c r="Q150" s="16"/>
      <c r="R150" s="16"/>
      <c r="S150" s="16"/>
      <c r="T150" s="15"/>
    </row>
    <row r="151" customFormat="false" ht="23.85" hidden="false" customHeight="false" outlineLevel="0" collapsed="false">
      <c r="A151" s="15" t="s">
        <v>1193</v>
      </c>
      <c r="B151" s="15" t="s">
        <v>1022</v>
      </c>
      <c r="C151" s="15" t="s">
        <v>1178</v>
      </c>
      <c r="D151" s="15" t="s">
        <v>1051</v>
      </c>
      <c r="E151" s="15" t="s">
        <v>1058</v>
      </c>
      <c r="F151" s="15" t="s">
        <v>1009</v>
      </c>
      <c r="G151" s="15" t="n">
        <v>4</v>
      </c>
      <c r="H151" s="15" t="n">
        <v>1</v>
      </c>
      <c r="I151" s="15" t="n">
        <f aca="false">IF(AND(ISNUMBER(G151),ISNUMBER(H151)),G151*2-H151,"")</f>
        <v>7</v>
      </c>
      <c r="J151" s="15" t="s">
        <v>1010</v>
      </c>
      <c r="K151" s="15" t="s">
        <v>1011</v>
      </c>
      <c r="L151" s="15" t="s">
        <v>1192</v>
      </c>
      <c r="M151" s="15" t="s">
        <v>295</v>
      </c>
      <c r="N151" s="15" t="str">
        <f aca="false">IF(M151="","Not built (workbook: do not build)",IFERROR(INDEX(Pages!$F$2:$F$98,MATCH(M151,Pages!$B$2:$B$98,0)),"Not found"))</f>
        <v>Corporate Investment in Mortgages in Canada | Lendmax Capital MIC</v>
      </c>
      <c r="O151" s="15" t="s">
        <v>113</v>
      </c>
      <c r="P151" s="16"/>
      <c r="Q151" s="16"/>
      <c r="R151" s="16"/>
      <c r="S151" s="16"/>
      <c r="T151" s="15"/>
    </row>
    <row r="152" customFormat="false" ht="15" hidden="false" customHeight="false" outlineLevel="0" collapsed="false">
      <c r="A152" s="15" t="s">
        <v>805</v>
      </c>
      <c r="B152" s="15" t="s">
        <v>1022</v>
      </c>
      <c r="C152" s="15" t="s">
        <v>1178</v>
      </c>
      <c r="D152" s="15" t="s">
        <v>1065</v>
      </c>
      <c r="E152" s="15" t="s">
        <v>1058</v>
      </c>
      <c r="F152" s="15" t="s">
        <v>1009</v>
      </c>
      <c r="G152" s="15" t="n">
        <v>4</v>
      </c>
      <c r="H152" s="15" t="n">
        <v>1</v>
      </c>
      <c r="I152" s="15" t="n">
        <f aca="false">IF(AND(ISNUMBER(G152),ISNUMBER(H152)),G152*2-H152,"")</f>
        <v>7</v>
      </c>
      <c r="J152" s="15" t="s">
        <v>1010</v>
      </c>
      <c r="K152" s="15" t="s">
        <v>1011</v>
      </c>
      <c r="L152" s="15" t="s">
        <v>1194</v>
      </c>
      <c r="M152" s="15" t="s">
        <v>801</v>
      </c>
      <c r="N152" s="15" t="str">
        <f aca="false">IF(M152="","Not built (workbook: do not build)",IFERROR(INDEX(Pages!$F$2:$F$98,MATCH(M152,Pages!$B$2:$B$98,0)),"Not found"))</f>
        <v>Non-Resident Investing in a Canadian MIC | Lendmax Capital MIC</v>
      </c>
      <c r="O152" s="15" t="s">
        <v>113</v>
      </c>
      <c r="P152" s="16"/>
      <c r="Q152" s="16"/>
      <c r="R152" s="16"/>
      <c r="S152" s="16"/>
      <c r="T152" s="15"/>
    </row>
    <row r="153" customFormat="false" ht="15" hidden="false" customHeight="false" outlineLevel="0" collapsed="false">
      <c r="A153" s="15" t="s">
        <v>806</v>
      </c>
      <c r="B153" s="15" t="s">
        <v>1022</v>
      </c>
      <c r="C153" s="15" t="s">
        <v>1178</v>
      </c>
      <c r="D153" s="15" t="s">
        <v>1065</v>
      </c>
      <c r="E153" s="15" t="s">
        <v>1058</v>
      </c>
      <c r="F153" s="15" t="s">
        <v>1009</v>
      </c>
      <c r="G153" s="15" t="n">
        <v>3</v>
      </c>
      <c r="H153" s="15" t="n">
        <v>1</v>
      </c>
      <c r="I153" s="15" t="n">
        <f aca="false">IF(AND(ISNUMBER(G153),ISNUMBER(H153)),G153*2-H153,"")</f>
        <v>5</v>
      </c>
      <c r="J153" s="15" t="s">
        <v>1019</v>
      </c>
      <c r="K153" s="15" t="s">
        <v>1011</v>
      </c>
      <c r="L153" s="15" t="s">
        <v>1194</v>
      </c>
      <c r="M153" s="15" t="s">
        <v>801</v>
      </c>
      <c r="N153" s="15" t="str">
        <f aca="false">IF(M153="","Not built (workbook: do not build)",IFERROR(INDEX(Pages!$F$2:$F$98,MATCH(M153,Pages!$B$2:$B$98,0)),"Not found"))</f>
        <v>Non-Resident Investing in a Canadian MIC | Lendmax Capital MIC</v>
      </c>
      <c r="O153" s="15" t="s">
        <v>113</v>
      </c>
      <c r="P153" s="16"/>
      <c r="Q153" s="16"/>
      <c r="R153" s="16"/>
      <c r="S153" s="16"/>
      <c r="T153" s="15"/>
    </row>
    <row r="154" customFormat="false" ht="15" hidden="false" customHeight="false" outlineLevel="0" collapsed="false">
      <c r="A154" s="15" t="s">
        <v>588</v>
      </c>
      <c r="B154" s="15" t="s">
        <v>1022</v>
      </c>
      <c r="C154" s="15" t="s">
        <v>1178</v>
      </c>
      <c r="D154" s="15" t="s">
        <v>1057</v>
      </c>
      <c r="E154" s="15" t="s">
        <v>1023</v>
      </c>
      <c r="F154" s="15" t="s">
        <v>1009</v>
      </c>
      <c r="G154" s="15" t="n">
        <v>4</v>
      </c>
      <c r="H154" s="15" t="n">
        <v>2</v>
      </c>
      <c r="I154" s="15" t="n">
        <f aca="false">IF(AND(ISNUMBER(G154),ISNUMBER(H154)),G154*2-H154,"")</f>
        <v>6</v>
      </c>
      <c r="J154" s="15" t="s">
        <v>1010</v>
      </c>
      <c r="K154" s="15" t="s">
        <v>1011</v>
      </c>
      <c r="L154" s="15" t="s">
        <v>1195</v>
      </c>
      <c r="M154" s="15" t="s">
        <v>585</v>
      </c>
      <c r="N154" s="15" t="str">
        <f aca="false">IF(M154="","Not built (workbook: do not build)",IFERROR(INDEX(Pages!$F$2:$F$98,MATCH(M154,Pages!$B$2:$B$98,0)),"Not found"))</f>
        <v>Mortgage Investing for Retirement Income in Canada</v>
      </c>
      <c r="O154" s="15" t="s">
        <v>113</v>
      </c>
      <c r="P154" s="16"/>
      <c r="Q154" s="16"/>
      <c r="R154" s="16"/>
      <c r="S154" s="16"/>
      <c r="T154" s="15"/>
    </row>
    <row r="155" customFormat="false" ht="15" hidden="false" customHeight="false" outlineLevel="0" collapsed="false">
      <c r="A155" s="15" t="s">
        <v>752</v>
      </c>
      <c r="B155" s="15" t="s">
        <v>1015</v>
      </c>
      <c r="C155" s="15" t="s">
        <v>1196</v>
      </c>
      <c r="D155" s="15" t="s">
        <v>1065</v>
      </c>
      <c r="E155" s="15" t="s">
        <v>1058</v>
      </c>
      <c r="F155" s="15" t="s">
        <v>1009</v>
      </c>
      <c r="G155" s="15" t="n">
        <v>5</v>
      </c>
      <c r="H155" s="15" t="n">
        <v>3</v>
      </c>
      <c r="I155" s="15" t="n">
        <f aca="false">IF(AND(ISNUMBER(G155),ISNUMBER(H155)),G155*2-H155,"")</f>
        <v>7</v>
      </c>
      <c r="J155" s="15" t="s">
        <v>1010</v>
      </c>
      <c r="K155" s="15" t="s">
        <v>1011</v>
      </c>
      <c r="L155" s="15" t="s">
        <v>1197</v>
      </c>
      <c r="M155" s="15" t="s">
        <v>267</v>
      </c>
      <c r="N155" s="15" t="str">
        <f aca="false">IF(M155="","Not built (workbook: do not build)",IFERROR(INDEX(Pages!$F$2:$F$98,MATCH(M155,Pages!$B$2:$B$98,0)),"Not found"))</f>
        <v>Capital Preservation and Principal Loss in Mortgages</v>
      </c>
      <c r="O155" s="15" t="s">
        <v>113</v>
      </c>
      <c r="P155" s="16"/>
      <c r="Q155" s="16"/>
      <c r="R155" s="16"/>
      <c r="S155" s="16"/>
      <c r="T155" s="15"/>
    </row>
    <row r="156" customFormat="false" ht="15" hidden="false" customHeight="false" outlineLevel="0" collapsed="false">
      <c r="A156" s="15" t="s">
        <v>1198</v>
      </c>
      <c r="B156" s="15" t="s">
        <v>1022</v>
      </c>
      <c r="C156" s="15" t="s">
        <v>1196</v>
      </c>
      <c r="D156" s="15" t="s">
        <v>1065</v>
      </c>
      <c r="E156" s="15" t="s">
        <v>1058</v>
      </c>
      <c r="F156" s="15" t="s">
        <v>1009</v>
      </c>
      <c r="G156" s="15" t="n">
        <v>5</v>
      </c>
      <c r="H156" s="15" t="n">
        <v>2</v>
      </c>
      <c r="I156" s="15" t="n">
        <f aca="false">IF(AND(ISNUMBER(G156),ISNUMBER(H156)),G156*2-H156,"")</f>
        <v>8</v>
      </c>
      <c r="J156" s="15" t="s">
        <v>1047</v>
      </c>
      <c r="K156" s="15" t="s">
        <v>1011</v>
      </c>
      <c r="L156" s="15" t="s">
        <v>1197</v>
      </c>
      <c r="M156" s="15" t="s">
        <v>748</v>
      </c>
      <c r="N156" s="15" t="str">
        <f aca="false">IF(M156="","Not built (workbook: do not build)",IFERROR(INDEX(Pages!$F$2:$F$98,MATCH(M156,Pages!$B$2:$B$98,0)),"Not found"))</f>
        <v>Mortgage Investment Risks in Canada | Lendmax Capital MIC</v>
      </c>
      <c r="O156" s="15" t="s">
        <v>113</v>
      </c>
      <c r="P156" s="16"/>
      <c r="Q156" s="16"/>
      <c r="R156" s="16"/>
      <c r="S156" s="16"/>
      <c r="T156" s="15"/>
    </row>
    <row r="157" customFormat="false" ht="15" hidden="false" customHeight="false" outlineLevel="0" collapsed="false">
      <c r="A157" s="15" t="s">
        <v>1199</v>
      </c>
      <c r="B157" s="15" t="s">
        <v>1054</v>
      </c>
      <c r="C157" s="15" t="s">
        <v>1196</v>
      </c>
      <c r="D157" s="15" t="s">
        <v>1065</v>
      </c>
      <c r="E157" s="15" t="s">
        <v>1058</v>
      </c>
      <c r="F157" s="15" t="s">
        <v>1009</v>
      </c>
      <c r="G157" s="15" t="n">
        <v>5</v>
      </c>
      <c r="H157" s="15" t="n">
        <v>3</v>
      </c>
      <c r="I157" s="15" t="n">
        <f aca="false">IF(AND(ISNUMBER(G157),ISNUMBER(H157)),G157*2-H157,"")</f>
        <v>7</v>
      </c>
      <c r="J157" s="15" t="s">
        <v>1010</v>
      </c>
      <c r="K157" s="15" t="s">
        <v>1011</v>
      </c>
      <c r="L157" s="15" t="s">
        <v>1197</v>
      </c>
      <c r="M157" s="15" t="s">
        <v>748</v>
      </c>
      <c r="N157" s="15" t="str">
        <f aca="false">IF(M157="","Not built (workbook: do not build)",IFERROR(INDEX(Pages!$F$2:$F$98,MATCH(M157,Pages!$B$2:$B$98,0)),"Not found"))</f>
        <v>Mortgage Investment Risks in Canada | Lendmax Capital MIC</v>
      </c>
      <c r="O157" s="15" t="s">
        <v>113</v>
      </c>
      <c r="P157" s="16"/>
      <c r="Q157" s="16"/>
      <c r="R157" s="16"/>
      <c r="S157" s="16"/>
      <c r="T157" s="15"/>
    </row>
    <row r="158" customFormat="false" ht="15" hidden="false" customHeight="false" outlineLevel="0" collapsed="false">
      <c r="A158" s="15" t="s">
        <v>1200</v>
      </c>
      <c r="B158" s="15" t="s">
        <v>1054</v>
      </c>
      <c r="C158" s="15" t="s">
        <v>1196</v>
      </c>
      <c r="D158" s="15" t="s">
        <v>1065</v>
      </c>
      <c r="E158" s="15" t="s">
        <v>1023</v>
      </c>
      <c r="F158" s="15" t="s">
        <v>1009</v>
      </c>
      <c r="G158" s="15" t="n">
        <v>5</v>
      </c>
      <c r="H158" s="15" t="n">
        <v>2</v>
      </c>
      <c r="I158" s="15" t="n">
        <f aca="false">IF(AND(ISNUMBER(G158),ISNUMBER(H158)),G158*2-H158,"")</f>
        <v>8</v>
      </c>
      <c r="J158" s="15" t="s">
        <v>1047</v>
      </c>
      <c r="K158" s="15" t="s">
        <v>1011</v>
      </c>
      <c r="L158" s="15" t="s">
        <v>1197</v>
      </c>
      <c r="M158" s="15" t="s">
        <v>748</v>
      </c>
      <c r="N158" s="15" t="str">
        <f aca="false">IF(M158="","Not built (workbook: do not build)",IFERROR(INDEX(Pages!$F$2:$F$98,MATCH(M158,Pages!$B$2:$B$98,0)),"Not found"))</f>
        <v>Mortgage Investment Risks in Canada | Lendmax Capital MIC</v>
      </c>
      <c r="O158" s="15" t="s">
        <v>113</v>
      </c>
      <c r="P158" s="16"/>
      <c r="Q158" s="16"/>
      <c r="R158" s="16"/>
      <c r="S158" s="16"/>
      <c r="T158" s="15"/>
    </row>
    <row r="159" customFormat="false" ht="15" hidden="false" customHeight="false" outlineLevel="0" collapsed="false">
      <c r="A159" s="15" t="s">
        <v>232</v>
      </c>
      <c r="B159" s="15" t="s">
        <v>1054</v>
      </c>
      <c r="C159" s="15" t="s">
        <v>1196</v>
      </c>
      <c r="D159" s="15" t="s">
        <v>1065</v>
      </c>
      <c r="E159" s="15" t="s">
        <v>1058</v>
      </c>
      <c r="F159" s="15" t="s">
        <v>1009</v>
      </c>
      <c r="G159" s="15" t="n">
        <v>5</v>
      </c>
      <c r="H159" s="15" t="n">
        <v>2</v>
      </c>
      <c r="I159" s="15" t="n">
        <f aca="false">IF(AND(ISNUMBER(G159),ISNUMBER(H159)),G159*2-H159,"")</f>
        <v>8</v>
      </c>
      <c r="J159" s="15" t="s">
        <v>1047</v>
      </c>
      <c r="K159" s="15" t="s">
        <v>1011</v>
      </c>
      <c r="L159" s="15" t="s">
        <v>1197</v>
      </c>
      <c r="M159" s="15" t="s">
        <v>228</v>
      </c>
      <c r="N159" s="15" t="str">
        <f aca="false">IF(M159="","Not built (workbook: do not build)",IFERROR(INDEX(Pages!$F$2:$F$98,MATCH(M159,Pages!$B$2:$B$98,0)),"Not found"))</f>
        <v>Are MIC Investments Guaranteed? No. Here's Why</v>
      </c>
      <c r="O159" s="15" t="s">
        <v>113</v>
      </c>
      <c r="P159" s="16"/>
      <c r="Q159" s="16"/>
      <c r="R159" s="16"/>
      <c r="S159" s="16"/>
      <c r="T159" s="15"/>
    </row>
    <row r="160" customFormat="false" ht="15" hidden="false" customHeight="false" outlineLevel="0" collapsed="false">
      <c r="A160" s="15" t="s">
        <v>1201</v>
      </c>
      <c r="B160" s="15" t="s">
        <v>1054</v>
      </c>
      <c r="C160" s="15" t="s">
        <v>1196</v>
      </c>
      <c r="D160" s="15" t="s">
        <v>1065</v>
      </c>
      <c r="E160" s="15" t="s">
        <v>1058</v>
      </c>
      <c r="F160" s="15" t="s">
        <v>1009</v>
      </c>
      <c r="G160" s="15" t="n">
        <v>5</v>
      </c>
      <c r="H160" s="15" t="n">
        <v>2</v>
      </c>
      <c r="I160" s="15" t="n">
        <f aca="false">IF(AND(ISNUMBER(G160),ISNUMBER(H160)),G160*2-H160,"")</f>
        <v>8</v>
      </c>
      <c r="J160" s="15" t="s">
        <v>1047</v>
      </c>
      <c r="K160" s="15" t="s">
        <v>1011</v>
      </c>
      <c r="L160" s="15" t="s">
        <v>1197</v>
      </c>
      <c r="M160" s="15" t="s">
        <v>228</v>
      </c>
      <c r="N160" s="15" t="str">
        <f aca="false">IF(M160="","Not built (workbook: do not build)",IFERROR(INDEX(Pages!$F$2:$F$98,MATCH(M160,Pages!$B$2:$B$98,0)),"Not found"))</f>
        <v>Are MIC Investments Guaranteed? No. Here's Why</v>
      </c>
      <c r="O160" s="15" t="s">
        <v>113</v>
      </c>
      <c r="P160" s="16"/>
      <c r="Q160" s="16"/>
      <c r="R160" s="16"/>
      <c r="S160" s="16"/>
      <c r="T160" s="15"/>
    </row>
    <row r="161" customFormat="false" ht="15" hidden="false" customHeight="false" outlineLevel="0" collapsed="false">
      <c r="A161" s="15" t="s">
        <v>1202</v>
      </c>
      <c r="B161" s="15" t="s">
        <v>1054</v>
      </c>
      <c r="C161" s="15" t="s">
        <v>1196</v>
      </c>
      <c r="D161" s="15" t="s">
        <v>1065</v>
      </c>
      <c r="E161" s="15" t="s">
        <v>1023</v>
      </c>
      <c r="F161" s="15" t="s">
        <v>1009</v>
      </c>
      <c r="G161" s="15" t="n">
        <v>5</v>
      </c>
      <c r="H161" s="15" t="n">
        <v>1</v>
      </c>
      <c r="I161" s="15" t="n">
        <f aca="false">IF(AND(ISNUMBER(G161),ISNUMBER(H161)),G161*2-H161,"")</f>
        <v>9</v>
      </c>
      <c r="J161" s="15" t="s">
        <v>1047</v>
      </c>
      <c r="K161" s="15" t="s">
        <v>1011</v>
      </c>
      <c r="L161" s="15" t="s">
        <v>1197</v>
      </c>
      <c r="M161" s="15" t="s">
        <v>267</v>
      </c>
      <c r="N161" s="15" t="str">
        <f aca="false">IF(M161="","Not built (workbook: do not build)",IFERROR(INDEX(Pages!$F$2:$F$98,MATCH(M161,Pages!$B$2:$B$98,0)),"Not found"))</f>
        <v>Capital Preservation and Principal Loss in Mortgages</v>
      </c>
      <c r="O161" s="15" t="s">
        <v>113</v>
      </c>
      <c r="P161" s="16"/>
      <c r="Q161" s="16"/>
      <c r="R161" s="16"/>
      <c r="S161" s="16"/>
      <c r="T161" s="15"/>
    </row>
    <row r="162" customFormat="false" ht="15" hidden="false" customHeight="false" outlineLevel="0" collapsed="false">
      <c r="A162" s="15" t="s">
        <v>1203</v>
      </c>
      <c r="B162" s="15" t="s">
        <v>1015</v>
      </c>
      <c r="C162" s="15" t="s">
        <v>1196</v>
      </c>
      <c r="D162" s="15" t="s">
        <v>1065</v>
      </c>
      <c r="E162" s="15" t="s">
        <v>1058</v>
      </c>
      <c r="F162" s="15" t="s">
        <v>1009</v>
      </c>
      <c r="G162" s="15" t="n">
        <v>5</v>
      </c>
      <c r="H162" s="15" t="n">
        <v>2</v>
      </c>
      <c r="I162" s="15" t="n">
        <f aca="false">IF(AND(ISNUMBER(G162),ISNUMBER(H162)),G162*2-H162,"")</f>
        <v>8</v>
      </c>
      <c r="J162" s="15" t="s">
        <v>1047</v>
      </c>
      <c r="K162" s="15" t="s">
        <v>1011</v>
      </c>
      <c r="L162" s="15" t="s">
        <v>1204</v>
      </c>
      <c r="M162" s="15" t="s">
        <v>237</v>
      </c>
      <c r="N162" s="15" t="str">
        <f aca="false">IF(M162="","Not built (workbook: do not build)",IFERROR(INDEX(Pages!$F$2:$F$98,MATCH(M162,Pages!$B$2:$B$98,0)),"Not found"))</f>
        <v>Borrower Default on a Mortgage Investment | Lendmax Capital MIC</v>
      </c>
      <c r="O162" s="15" t="s">
        <v>113</v>
      </c>
      <c r="P162" s="16"/>
      <c r="Q162" s="16"/>
      <c r="R162" s="16"/>
      <c r="S162" s="16"/>
      <c r="T162" s="15"/>
    </row>
    <row r="163" customFormat="false" ht="15" hidden="false" customHeight="false" outlineLevel="0" collapsed="false">
      <c r="A163" s="15" t="s">
        <v>241</v>
      </c>
      <c r="B163" s="15" t="s">
        <v>1022</v>
      </c>
      <c r="C163" s="15" t="s">
        <v>1196</v>
      </c>
      <c r="D163" s="15" t="s">
        <v>1065</v>
      </c>
      <c r="E163" s="15" t="s">
        <v>1058</v>
      </c>
      <c r="F163" s="15" t="s">
        <v>1009</v>
      </c>
      <c r="G163" s="15" t="n">
        <v>5</v>
      </c>
      <c r="H163" s="15" t="n">
        <v>2</v>
      </c>
      <c r="I163" s="15" t="n">
        <f aca="false">IF(AND(ISNUMBER(G163),ISNUMBER(H163)),G163*2-H163,"")</f>
        <v>8</v>
      </c>
      <c r="J163" s="15" t="s">
        <v>1047</v>
      </c>
      <c r="K163" s="15" t="s">
        <v>1011</v>
      </c>
      <c r="L163" s="15" t="s">
        <v>1204</v>
      </c>
      <c r="M163" s="15" t="s">
        <v>237</v>
      </c>
      <c r="N163" s="15" t="str">
        <f aca="false">IF(M163="","Not built (workbook: do not build)",IFERROR(INDEX(Pages!$F$2:$F$98,MATCH(M163,Pages!$B$2:$B$98,0)),"Not found"))</f>
        <v>Borrower Default on a Mortgage Investment | Lendmax Capital MIC</v>
      </c>
      <c r="O163" s="15" t="s">
        <v>113</v>
      </c>
      <c r="P163" s="16"/>
      <c r="Q163" s="16"/>
      <c r="R163" s="16"/>
      <c r="S163" s="16"/>
      <c r="T163" s="15"/>
    </row>
    <row r="164" customFormat="false" ht="15" hidden="false" customHeight="false" outlineLevel="0" collapsed="false">
      <c r="A164" s="15" t="s">
        <v>463</v>
      </c>
      <c r="B164" s="15" t="s">
        <v>1015</v>
      </c>
      <c r="C164" s="15" t="s">
        <v>1196</v>
      </c>
      <c r="D164" s="15" t="s">
        <v>1065</v>
      </c>
      <c r="E164" s="15" t="s">
        <v>1058</v>
      </c>
      <c r="F164" s="15" t="s">
        <v>1009</v>
      </c>
      <c r="G164" s="15" t="n">
        <v>5</v>
      </c>
      <c r="H164" s="15" t="n">
        <v>2</v>
      </c>
      <c r="I164" s="15" t="n">
        <f aca="false">IF(AND(ISNUMBER(G164),ISNUMBER(H164)),G164*2-H164,"")</f>
        <v>8</v>
      </c>
      <c r="J164" s="15" t="s">
        <v>1047</v>
      </c>
      <c r="K164" s="15" t="s">
        <v>1011</v>
      </c>
      <c r="L164" s="15" t="s">
        <v>1205</v>
      </c>
      <c r="M164" s="15" t="s">
        <v>459</v>
      </c>
      <c r="N164" s="15" t="str">
        <f aca="false">IF(M164="","Not built (workbook: do not build)",IFERROR(INDEX(Pages!$F$2:$F$98,MATCH(M164,Pages!$B$2:$B$98,0)),"Not found"))</f>
        <v>Loan-to-Value in Mortgage Investing: How to Read It</v>
      </c>
      <c r="O164" s="15" t="s">
        <v>113</v>
      </c>
      <c r="P164" s="16"/>
      <c r="Q164" s="16"/>
      <c r="R164" s="16"/>
      <c r="S164" s="16"/>
      <c r="T164" s="15"/>
    </row>
    <row r="165" customFormat="false" ht="15" hidden="false" customHeight="false" outlineLevel="0" collapsed="false">
      <c r="A165" s="15" t="s">
        <v>1206</v>
      </c>
      <c r="B165" s="15" t="s">
        <v>1054</v>
      </c>
      <c r="C165" s="15" t="s">
        <v>1196</v>
      </c>
      <c r="D165" s="15" t="s">
        <v>1065</v>
      </c>
      <c r="E165" s="15" t="s">
        <v>1058</v>
      </c>
      <c r="F165" s="15" t="s">
        <v>1009</v>
      </c>
      <c r="G165" s="15" t="n">
        <v>5</v>
      </c>
      <c r="H165" s="15" t="n">
        <v>1</v>
      </c>
      <c r="I165" s="15" t="n">
        <f aca="false">IF(AND(ISNUMBER(G165),ISNUMBER(H165)),G165*2-H165,"")</f>
        <v>9</v>
      </c>
      <c r="J165" s="15" t="s">
        <v>1047</v>
      </c>
      <c r="K165" s="15" t="s">
        <v>1011</v>
      </c>
      <c r="L165" s="15" t="s">
        <v>1205</v>
      </c>
      <c r="M165" s="15" t="s">
        <v>459</v>
      </c>
      <c r="N165" s="15" t="str">
        <f aca="false">IF(M165="","Not built (workbook: do not build)",IFERROR(INDEX(Pages!$F$2:$F$98,MATCH(M165,Pages!$B$2:$B$98,0)),"Not found"))</f>
        <v>Loan-to-Value in Mortgage Investing: How to Read It</v>
      </c>
      <c r="O165" s="15" t="s">
        <v>113</v>
      </c>
      <c r="P165" s="16"/>
      <c r="Q165" s="16"/>
      <c r="R165" s="16"/>
      <c r="S165" s="16"/>
      <c r="T165" s="15"/>
    </row>
    <row r="166" customFormat="false" ht="15" hidden="false" customHeight="false" outlineLevel="0" collapsed="false">
      <c r="A166" s="15" t="s">
        <v>1207</v>
      </c>
      <c r="B166" s="15" t="s">
        <v>1054</v>
      </c>
      <c r="C166" s="15" t="s">
        <v>1196</v>
      </c>
      <c r="D166" s="15" t="s">
        <v>1016</v>
      </c>
      <c r="E166" s="15" t="s">
        <v>1023</v>
      </c>
      <c r="F166" s="15" t="s">
        <v>1009</v>
      </c>
      <c r="G166" s="15" t="n">
        <v>4</v>
      </c>
      <c r="H166" s="15" t="n">
        <v>4</v>
      </c>
      <c r="I166" s="15" t="n">
        <f aca="false">IF(AND(ISNUMBER(G166),ISNUMBER(H166)),G166*2-H166,"")</f>
        <v>4</v>
      </c>
      <c r="J166" s="15" t="s">
        <v>1019</v>
      </c>
      <c r="K166" s="15" t="s">
        <v>1011</v>
      </c>
      <c r="L166" s="15" t="s">
        <v>1205</v>
      </c>
      <c r="M166" s="15" t="s">
        <v>459</v>
      </c>
      <c r="N166" s="15" t="str">
        <f aca="false">IF(M166="","Not built (workbook: do not build)",IFERROR(INDEX(Pages!$F$2:$F$98,MATCH(M166,Pages!$B$2:$B$98,0)),"Not found"))</f>
        <v>Loan-to-Value in Mortgage Investing: How to Read It</v>
      </c>
      <c r="O166" s="15" t="s">
        <v>113</v>
      </c>
      <c r="P166" s="16"/>
      <c r="Q166" s="16"/>
      <c r="R166" s="16"/>
      <c r="S166" s="16"/>
      <c r="T166" s="15"/>
    </row>
    <row r="167" customFormat="false" ht="15" hidden="false" customHeight="false" outlineLevel="0" collapsed="false">
      <c r="A167" s="15" t="s">
        <v>1208</v>
      </c>
      <c r="B167" s="15" t="s">
        <v>1022</v>
      </c>
      <c r="C167" s="15" t="s">
        <v>1196</v>
      </c>
      <c r="D167" s="15" t="s">
        <v>1065</v>
      </c>
      <c r="E167" s="15" t="s">
        <v>1058</v>
      </c>
      <c r="F167" s="15" t="s">
        <v>1009</v>
      </c>
      <c r="G167" s="15" t="n">
        <v>4</v>
      </c>
      <c r="H167" s="15" t="n">
        <v>1</v>
      </c>
      <c r="I167" s="15" t="n">
        <f aca="false">IF(AND(ISNUMBER(G167),ISNUMBER(H167)),G167*2-H167,"")</f>
        <v>7</v>
      </c>
      <c r="J167" s="15" t="s">
        <v>1010</v>
      </c>
      <c r="K167" s="15" t="s">
        <v>1011</v>
      </c>
      <c r="L167" s="15" t="s">
        <v>1205</v>
      </c>
      <c r="M167" s="15" t="s">
        <v>890</v>
      </c>
      <c r="N167" s="15" t="str">
        <f aca="false">IF(M167="","Not built (workbook: do not build)",IFERROR(INDEX(Pages!$F$2:$F$98,MATCH(M167,Pages!$B$2:$B$98,0)),"Not found"))</f>
        <v>Second Mortgage Investments: Yield and Risk | Lendmax Capital MIC</v>
      </c>
      <c r="O167" s="15" t="s">
        <v>113</v>
      </c>
      <c r="P167" s="16"/>
      <c r="Q167" s="16"/>
      <c r="R167" s="16"/>
      <c r="S167" s="16"/>
      <c r="T167" s="15"/>
    </row>
    <row r="168" customFormat="false" ht="15" hidden="false" customHeight="false" outlineLevel="0" collapsed="false">
      <c r="A168" s="15" t="s">
        <v>1209</v>
      </c>
      <c r="B168" s="15" t="s">
        <v>1022</v>
      </c>
      <c r="C168" s="15" t="s">
        <v>1196</v>
      </c>
      <c r="D168" s="15" t="s">
        <v>1065</v>
      </c>
      <c r="E168" s="15" t="s">
        <v>1058</v>
      </c>
      <c r="F168" s="15" t="s">
        <v>1009</v>
      </c>
      <c r="G168" s="15" t="n">
        <v>3</v>
      </c>
      <c r="H168" s="15" t="n">
        <v>1</v>
      </c>
      <c r="I168" s="15" t="n">
        <f aca="false">IF(AND(ISNUMBER(G168),ISNUMBER(H168)),G168*2-H168,"")</f>
        <v>5</v>
      </c>
      <c r="J168" s="15" t="s">
        <v>1019</v>
      </c>
      <c r="K168" s="15" t="s">
        <v>1011</v>
      </c>
      <c r="L168" s="15" t="s">
        <v>1101</v>
      </c>
      <c r="M168" s="15" t="s">
        <v>459</v>
      </c>
      <c r="N168" s="15" t="str">
        <f aca="false">IF(M168="","Not built (workbook: do not build)",IFERROR(INDEX(Pages!$F$2:$F$98,MATCH(M168,Pages!$B$2:$B$98,0)),"Not found"))</f>
        <v>Loan-to-Value in Mortgage Investing: How to Read It</v>
      </c>
      <c r="O168" s="15" t="s">
        <v>113</v>
      </c>
      <c r="P168" s="16"/>
      <c r="Q168" s="16"/>
      <c r="R168" s="16"/>
      <c r="S168" s="16"/>
      <c r="T168" s="15"/>
    </row>
    <row r="169" customFormat="false" ht="15" hidden="false" customHeight="false" outlineLevel="0" collapsed="false">
      <c r="A169" s="15" t="s">
        <v>1210</v>
      </c>
      <c r="B169" s="15" t="s">
        <v>1022</v>
      </c>
      <c r="C169" s="15" t="s">
        <v>1196</v>
      </c>
      <c r="D169" s="15" t="s">
        <v>1065</v>
      </c>
      <c r="E169" s="15" t="s">
        <v>1058</v>
      </c>
      <c r="F169" s="15" t="s">
        <v>1009</v>
      </c>
      <c r="G169" s="15" t="n">
        <v>4</v>
      </c>
      <c r="H169" s="15" t="n">
        <v>1</v>
      </c>
      <c r="I169" s="15" t="n">
        <f aca="false">IF(AND(ISNUMBER(G169),ISNUMBER(H169)),G169*2-H169,"")</f>
        <v>7</v>
      </c>
      <c r="J169" s="15" t="s">
        <v>1010</v>
      </c>
      <c r="K169" s="15" t="s">
        <v>1011</v>
      </c>
      <c r="L169" s="15" t="s">
        <v>1130</v>
      </c>
      <c r="M169" s="15" t="s">
        <v>413</v>
      </c>
      <c r="N169" s="15" t="str">
        <f aca="false">IF(M169="","Not built (workbook: do not build)",IFERROR(INDEX(Pages!$F$2:$F$98,MATCH(M169,Pages!$B$2:$B$98,0)),"Not found"))</f>
        <v>How Are Mortgages Underwritten for Investors?</v>
      </c>
      <c r="O169" s="15" t="s">
        <v>113</v>
      </c>
      <c r="P169" s="16"/>
      <c r="Q169" s="16"/>
      <c r="R169" s="16"/>
      <c r="S169" s="16"/>
      <c r="T169" s="15"/>
    </row>
    <row r="170" customFormat="false" ht="15" hidden="false" customHeight="false" outlineLevel="0" collapsed="false">
      <c r="A170" s="15" t="s">
        <v>223</v>
      </c>
      <c r="B170" s="15" t="s">
        <v>1022</v>
      </c>
      <c r="C170" s="15" t="s">
        <v>1196</v>
      </c>
      <c r="D170" s="15" t="s">
        <v>1065</v>
      </c>
      <c r="E170" s="15" t="s">
        <v>1058</v>
      </c>
      <c r="F170" s="15" t="s">
        <v>1009</v>
      </c>
      <c r="G170" s="15" t="n">
        <v>4</v>
      </c>
      <c r="H170" s="15" t="n">
        <v>1</v>
      </c>
      <c r="I170" s="15" t="n">
        <f aca="false">IF(AND(ISNUMBER(G170),ISNUMBER(H170)),G170*2-H170,"")</f>
        <v>7</v>
      </c>
      <c r="J170" s="15" t="s">
        <v>1010</v>
      </c>
      <c r="K170" s="15" t="s">
        <v>1011</v>
      </c>
      <c r="L170" s="15" t="s">
        <v>1211</v>
      </c>
      <c r="M170" s="15" t="s">
        <v>217</v>
      </c>
      <c r="N170" s="15" t="str">
        <f aca="false">IF(M170="","Not built (workbook: do not build)",IFERROR(INDEX(Pages!$F$2:$F$98,MATCH(M170,Pages!$B$2:$B$98,0)),"Not found"))</f>
        <v>Property Appraisals in a Mortgage Investment</v>
      </c>
      <c r="O170" s="15" t="s">
        <v>113</v>
      </c>
      <c r="P170" s="16"/>
      <c r="Q170" s="16"/>
      <c r="R170" s="16"/>
      <c r="S170" s="16"/>
      <c r="T170" s="15"/>
    </row>
    <row r="171" customFormat="false" ht="15" hidden="false" customHeight="false" outlineLevel="0" collapsed="false">
      <c r="A171" s="15" t="s">
        <v>1212</v>
      </c>
      <c r="B171" s="15" t="s">
        <v>1022</v>
      </c>
      <c r="C171" s="15" t="s">
        <v>1196</v>
      </c>
      <c r="D171" s="15" t="s">
        <v>1065</v>
      </c>
      <c r="E171" s="15" t="s">
        <v>1058</v>
      </c>
      <c r="F171" s="15" t="s">
        <v>1009</v>
      </c>
      <c r="G171" s="15" t="n">
        <v>4</v>
      </c>
      <c r="H171" s="15" t="n">
        <v>1</v>
      </c>
      <c r="I171" s="15" t="n">
        <f aca="false">IF(AND(ISNUMBER(G171),ISNUMBER(H171)),G171*2-H171,"")</f>
        <v>7</v>
      </c>
      <c r="J171" s="15" t="s">
        <v>1010</v>
      </c>
      <c r="K171" s="15" t="s">
        <v>1011</v>
      </c>
      <c r="L171" s="15" t="s">
        <v>1211</v>
      </c>
      <c r="M171" s="15" t="s">
        <v>217</v>
      </c>
      <c r="N171" s="15" t="str">
        <f aca="false">IF(M171="","Not built (workbook: do not build)",IFERROR(INDEX(Pages!$F$2:$F$98,MATCH(M171,Pages!$B$2:$B$98,0)),"Not found"))</f>
        <v>Property Appraisals in a Mortgage Investment</v>
      </c>
      <c r="O171" s="15" t="s">
        <v>113</v>
      </c>
      <c r="P171" s="16"/>
      <c r="Q171" s="16"/>
      <c r="R171" s="16"/>
      <c r="S171" s="16"/>
      <c r="T171" s="15"/>
    </row>
    <row r="172" customFormat="false" ht="15" hidden="false" customHeight="false" outlineLevel="0" collapsed="false">
      <c r="A172" s="15" t="s">
        <v>832</v>
      </c>
      <c r="B172" s="15" t="s">
        <v>1022</v>
      </c>
      <c r="C172" s="15" t="s">
        <v>1196</v>
      </c>
      <c r="D172" s="15" t="s">
        <v>1065</v>
      </c>
      <c r="E172" s="15" t="s">
        <v>1058</v>
      </c>
      <c r="F172" s="15" t="s">
        <v>1009</v>
      </c>
      <c r="G172" s="15" t="n">
        <v>4</v>
      </c>
      <c r="H172" s="15" t="n">
        <v>1</v>
      </c>
      <c r="I172" s="15" t="n">
        <f aca="false">IF(AND(ISNUMBER(G172),ISNUMBER(H172)),G172*2-H172,"")</f>
        <v>7</v>
      </c>
      <c r="J172" s="15" t="s">
        <v>1010</v>
      </c>
      <c r="K172" s="15" t="s">
        <v>1020</v>
      </c>
      <c r="L172" s="15" t="s">
        <v>1153</v>
      </c>
      <c r="M172" s="15" t="s">
        <v>828</v>
      </c>
      <c r="N172" s="15" t="str">
        <f aca="false">IF(M172="","Not built (workbook: do not build)",IFERROR(INDEX(Pages!$F$2:$F$98,MATCH(M172,Pages!$B$2:$B$98,0)),"Not found"))</f>
        <v>Property Marketability Risk in a Mortgage Investment</v>
      </c>
      <c r="O172" s="15" t="s">
        <v>113</v>
      </c>
      <c r="P172" s="16"/>
      <c r="Q172" s="16"/>
      <c r="R172" s="16"/>
      <c r="S172" s="16"/>
      <c r="T172" s="15"/>
    </row>
    <row r="173" customFormat="false" ht="15" hidden="false" customHeight="false" outlineLevel="0" collapsed="false">
      <c r="A173" s="15" t="s">
        <v>454</v>
      </c>
      <c r="B173" s="15" t="s">
        <v>1015</v>
      </c>
      <c r="C173" s="15" t="s">
        <v>1196</v>
      </c>
      <c r="D173" s="15" t="s">
        <v>1065</v>
      </c>
      <c r="E173" s="15" t="s">
        <v>1058</v>
      </c>
      <c r="F173" s="15" t="s">
        <v>1009</v>
      </c>
      <c r="G173" s="15" t="n">
        <v>5</v>
      </c>
      <c r="H173" s="15" t="n">
        <v>1</v>
      </c>
      <c r="I173" s="15" t="n">
        <f aca="false">IF(AND(ISNUMBER(G173),ISNUMBER(H173)),G173*2-H173,"")</f>
        <v>9</v>
      </c>
      <c r="J173" s="15" t="s">
        <v>1047</v>
      </c>
      <c r="K173" s="15" t="s">
        <v>1011</v>
      </c>
      <c r="L173" s="15" t="s">
        <v>1085</v>
      </c>
      <c r="M173" s="15" t="s">
        <v>450</v>
      </c>
      <c r="N173" s="15" t="str">
        <f aca="false">IF(M173="","Not built (workbook: do not build)",IFERROR(INDEX(Pages!$F$2:$F$98,MATCH(M173,Pages!$B$2:$B$98,0)),"Not found"))</f>
        <v>Liquidity Risk in a Mortgage Investment: Redemption</v>
      </c>
      <c r="O173" s="15" t="s">
        <v>113</v>
      </c>
      <c r="P173" s="16"/>
      <c r="Q173" s="16"/>
      <c r="R173" s="16"/>
      <c r="S173" s="16"/>
      <c r="T173" s="15"/>
    </row>
    <row r="174" customFormat="false" ht="15" hidden="false" customHeight="false" outlineLevel="0" collapsed="false">
      <c r="A174" s="15" t="s">
        <v>1213</v>
      </c>
      <c r="B174" s="15" t="s">
        <v>1054</v>
      </c>
      <c r="C174" s="15" t="s">
        <v>1196</v>
      </c>
      <c r="D174" s="15" t="s">
        <v>1065</v>
      </c>
      <c r="E174" s="15" t="s">
        <v>1058</v>
      </c>
      <c r="F174" s="15" t="s">
        <v>1009</v>
      </c>
      <c r="G174" s="15" t="n">
        <v>5</v>
      </c>
      <c r="H174" s="15" t="n">
        <v>2</v>
      </c>
      <c r="I174" s="15" t="n">
        <f aca="false">IF(AND(ISNUMBER(G174),ISNUMBER(H174)),G174*2-H174,"")</f>
        <v>8</v>
      </c>
      <c r="J174" s="15" t="s">
        <v>1047</v>
      </c>
      <c r="K174" s="15" t="s">
        <v>1011</v>
      </c>
      <c r="L174" s="15" t="s">
        <v>1085</v>
      </c>
      <c r="M174" s="15" t="s">
        <v>450</v>
      </c>
      <c r="N174" s="15" t="str">
        <f aca="false">IF(M174="","Not built (workbook: do not build)",IFERROR(INDEX(Pages!$F$2:$F$98,MATCH(M174,Pages!$B$2:$B$98,0)),"Not found"))</f>
        <v>Liquidity Risk in a Mortgage Investment: Redemption</v>
      </c>
      <c r="O174" s="15" t="s">
        <v>113</v>
      </c>
      <c r="P174" s="16"/>
      <c r="Q174" s="16"/>
      <c r="R174" s="16"/>
      <c r="S174" s="16"/>
      <c r="T174" s="15"/>
    </row>
    <row r="175" customFormat="false" ht="15" hidden="false" customHeight="false" outlineLevel="0" collapsed="false">
      <c r="A175" s="15" t="s">
        <v>1214</v>
      </c>
      <c r="B175" s="15" t="s">
        <v>1022</v>
      </c>
      <c r="C175" s="15" t="s">
        <v>1196</v>
      </c>
      <c r="D175" s="15" t="s">
        <v>1065</v>
      </c>
      <c r="E175" s="15" t="s">
        <v>1058</v>
      </c>
      <c r="F175" s="15" t="s">
        <v>1009</v>
      </c>
      <c r="G175" s="15" t="n">
        <v>5</v>
      </c>
      <c r="H175" s="15" t="n">
        <v>1</v>
      </c>
      <c r="I175" s="15" t="n">
        <f aca="false">IF(AND(ISNUMBER(G175),ISNUMBER(H175)),G175*2-H175,"")</f>
        <v>9</v>
      </c>
      <c r="J175" s="15" t="s">
        <v>1047</v>
      </c>
      <c r="K175" s="15" t="s">
        <v>1011</v>
      </c>
      <c r="L175" s="15" t="s">
        <v>1085</v>
      </c>
      <c r="M175" s="15" t="s">
        <v>450</v>
      </c>
      <c r="N175" s="15" t="str">
        <f aca="false">IF(M175="","Not built (workbook: do not build)",IFERROR(INDEX(Pages!$F$2:$F$98,MATCH(M175,Pages!$B$2:$B$98,0)),"Not found"))</f>
        <v>Liquidity Risk in a Mortgage Investment: Redemption</v>
      </c>
      <c r="O175" s="15" t="s">
        <v>113</v>
      </c>
      <c r="P175" s="16"/>
      <c r="Q175" s="16"/>
      <c r="R175" s="16"/>
      <c r="S175" s="16"/>
      <c r="T175" s="15"/>
    </row>
    <row r="176" customFormat="false" ht="15" hidden="false" customHeight="false" outlineLevel="0" collapsed="false">
      <c r="A176" s="15" t="s">
        <v>1215</v>
      </c>
      <c r="B176" s="15" t="s">
        <v>1022</v>
      </c>
      <c r="C176" s="15" t="s">
        <v>1196</v>
      </c>
      <c r="D176" s="15" t="s">
        <v>1065</v>
      </c>
      <c r="E176" s="15" t="s">
        <v>1058</v>
      </c>
      <c r="F176" s="15" t="s">
        <v>1009</v>
      </c>
      <c r="G176" s="15" t="n">
        <v>4</v>
      </c>
      <c r="H176" s="15" t="n">
        <v>1</v>
      </c>
      <c r="I176" s="15" t="n">
        <f aca="false">IF(AND(ISNUMBER(G176),ISNUMBER(H176)),G176*2-H176,"")</f>
        <v>7</v>
      </c>
      <c r="J176" s="15" t="s">
        <v>1010</v>
      </c>
      <c r="K176" s="15" t="s">
        <v>1011</v>
      </c>
      <c r="L176" s="15" t="s">
        <v>1085</v>
      </c>
      <c r="M176" s="15" t="s">
        <v>450</v>
      </c>
      <c r="N176" s="15" t="str">
        <f aca="false">IF(M176="","Not built (workbook: do not build)",IFERROR(INDEX(Pages!$F$2:$F$98,MATCH(M176,Pages!$B$2:$B$98,0)),"Not found"))</f>
        <v>Liquidity Risk in a Mortgage Investment: Redemption</v>
      </c>
      <c r="O176" s="15" t="s">
        <v>113</v>
      </c>
      <c r="P176" s="16"/>
      <c r="Q176" s="16"/>
      <c r="R176" s="16"/>
      <c r="S176" s="16"/>
      <c r="T176" s="15"/>
    </row>
    <row r="177" customFormat="false" ht="15" hidden="false" customHeight="false" outlineLevel="0" collapsed="false">
      <c r="A177" s="15" t="s">
        <v>1216</v>
      </c>
      <c r="B177" s="15" t="s">
        <v>1022</v>
      </c>
      <c r="C177" s="15" t="s">
        <v>1196</v>
      </c>
      <c r="D177" s="15" t="s">
        <v>1065</v>
      </c>
      <c r="E177" s="15" t="s">
        <v>1058</v>
      </c>
      <c r="F177" s="15" t="s">
        <v>1009</v>
      </c>
      <c r="G177" s="15" t="n">
        <v>3</v>
      </c>
      <c r="H177" s="15" t="n">
        <v>1</v>
      </c>
      <c r="I177" s="15" t="n">
        <f aca="false">IF(AND(ISNUMBER(G177),ISNUMBER(H177)),G177*2-H177,"")</f>
        <v>5</v>
      </c>
      <c r="J177" s="15" t="s">
        <v>1019</v>
      </c>
      <c r="K177" s="15" t="s">
        <v>1020</v>
      </c>
      <c r="L177" s="15" t="s">
        <v>1085</v>
      </c>
      <c r="M177" s="15" t="s">
        <v>450</v>
      </c>
      <c r="N177" s="15" t="str">
        <f aca="false">IF(M177="","Not built (workbook: do not build)",IFERROR(INDEX(Pages!$F$2:$F$98,MATCH(M177,Pages!$B$2:$B$98,0)),"Not found"))</f>
        <v>Liquidity Risk in a Mortgage Investment: Redemption</v>
      </c>
      <c r="O177" s="15" t="s">
        <v>113</v>
      </c>
      <c r="P177" s="16"/>
      <c r="Q177" s="16"/>
      <c r="R177" s="16"/>
      <c r="S177" s="16"/>
      <c r="T177" s="15"/>
    </row>
    <row r="178" customFormat="false" ht="15" hidden="false" customHeight="false" outlineLevel="0" collapsed="false">
      <c r="A178" s="15" t="s">
        <v>445</v>
      </c>
      <c r="B178" s="15" t="s">
        <v>1022</v>
      </c>
      <c r="C178" s="15" t="s">
        <v>1196</v>
      </c>
      <c r="D178" s="15" t="s">
        <v>1065</v>
      </c>
      <c r="E178" s="15" t="s">
        <v>1058</v>
      </c>
      <c r="F178" s="15" t="s">
        <v>1009</v>
      </c>
      <c r="G178" s="15" t="n">
        <v>4</v>
      </c>
      <c r="H178" s="15" t="n">
        <v>1</v>
      </c>
      <c r="I178" s="15" t="n">
        <f aca="false">IF(AND(ISNUMBER(G178),ISNUMBER(H178)),G178*2-H178,"")</f>
        <v>7</v>
      </c>
      <c r="J178" s="15" t="s">
        <v>1010</v>
      </c>
      <c r="K178" s="15" t="s">
        <v>1011</v>
      </c>
      <c r="L178" s="15" t="s">
        <v>1197</v>
      </c>
      <c r="M178" s="15" t="s">
        <v>359</v>
      </c>
      <c r="N178" s="15" t="str">
        <f aca="false">IF(M178="","Not built (workbook: do not build)",IFERROR(INDEX(Pages!$F$2:$F$98,MATCH(M178,Pages!$B$2:$B$98,0)),"Not found"))</f>
        <v>Fixed Rate vs Variable Rate Mortgage Investments</v>
      </c>
      <c r="O178" s="15" t="s">
        <v>113</v>
      </c>
      <c r="P178" s="16"/>
      <c r="Q178" s="16"/>
      <c r="R178" s="16"/>
      <c r="S178" s="16"/>
      <c r="T178" s="15"/>
    </row>
    <row r="179" customFormat="false" ht="15" hidden="false" customHeight="false" outlineLevel="0" collapsed="false">
      <c r="A179" s="15" t="s">
        <v>1217</v>
      </c>
      <c r="B179" s="15" t="s">
        <v>1022</v>
      </c>
      <c r="C179" s="15" t="s">
        <v>1196</v>
      </c>
      <c r="D179" s="15" t="s">
        <v>1065</v>
      </c>
      <c r="E179" s="15" t="s">
        <v>1058</v>
      </c>
      <c r="F179" s="15" t="s">
        <v>1009</v>
      </c>
      <c r="G179" s="15" t="n">
        <v>4</v>
      </c>
      <c r="H179" s="15" t="n">
        <v>1</v>
      </c>
      <c r="I179" s="15" t="n">
        <f aca="false">IF(AND(ISNUMBER(G179),ISNUMBER(H179)),G179*2-H179,"")</f>
        <v>7</v>
      </c>
      <c r="J179" s="15" t="s">
        <v>1010</v>
      </c>
      <c r="K179" s="15" t="s">
        <v>1011</v>
      </c>
      <c r="L179" s="15" t="s">
        <v>1197</v>
      </c>
      <c r="M179" s="15" t="s">
        <v>828</v>
      </c>
      <c r="N179" s="15" t="str">
        <f aca="false">IF(M179="","Not built (workbook: do not build)",IFERROR(INDEX(Pages!$F$2:$F$98,MATCH(M179,Pages!$B$2:$B$98,0)),"Not found"))</f>
        <v>Property Marketability Risk in a Mortgage Investment</v>
      </c>
      <c r="O179" s="15" t="s">
        <v>113</v>
      </c>
      <c r="P179" s="16"/>
      <c r="Q179" s="16"/>
      <c r="R179" s="16"/>
      <c r="S179" s="16"/>
      <c r="T179" s="15"/>
    </row>
    <row r="180" customFormat="false" ht="15" hidden="false" customHeight="false" outlineLevel="0" collapsed="false">
      <c r="A180" s="15" t="s">
        <v>1218</v>
      </c>
      <c r="B180" s="15" t="s">
        <v>1022</v>
      </c>
      <c r="C180" s="15" t="s">
        <v>1196</v>
      </c>
      <c r="D180" s="15" t="s">
        <v>1065</v>
      </c>
      <c r="E180" s="15" t="s">
        <v>1058</v>
      </c>
      <c r="F180" s="15" t="s">
        <v>1009</v>
      </c>
      <c r="G180" s="15" t="n">
        <v>4</v>
      </c>
      <c r="H180" s="15" t="n">
        <v>1</v>
      </c>
      <c r="I180" s="15" t="n">
        <f aca="false">IF(AND(ISNUMBER(G180),ISNUMBER(H180)),G180*2-H180,"")</f>
        <v>7</v>
      </c>
      <c r="J180" s="15" t="s">
        <v>1010</v>
      </c>
      <c r="K180" s="15" t="s">
        <v>1011</v>
      </c>
      <c r="L180" s="15" t="s">
        <v>1219</v>
      </c>
      <c r="M180" s="15" t="s">
        <v>679</v>
      </c>
      <c r="N180" s="15" t="str">
        <f aca="false">IF(M180="","Not built (workbook: do not build)",IFERROR(INDEX(Pages!$F$2:$F$98,MATCH(M180,Pages!$B$2:$B$98,0)),"Not found"))</f>
        <v>Mortgage Investment Diversification and Concentration</v>
      </c>
      <c r="O180" s="15" t="s">
        <v>113</v>
      </c>
      <c r="P180" s="16"/>
      <c r="Q180" s="16"/>
      <c r="R180" s="16"/>
      <c r="S180" s="16"/>
      <c r="T180" s="15"/>
    </row>
    <row r="181" customFormat="false" ht="15" hidden="false" customHeight="false" outlineLevel="0" collapsed="false">
      <c r="A181" s="15" t="s">
        <v>1220</v>
      </c>
      <c r="B181" s="15" t="s">
        <v>1022</v>
      </c>
      <c r="C181" s="15" t="s">
        <v>1196</v>
      </c>
      <c r="D181" s="15" t="s">
        <v>1065</v>
      </c>
      <c r="E181" s="15" t="s">
        <v>1058</v>
      </c>
      <c r="F181" s="15" t="s">
        <v>1009</v>
      </c>
      <c r="G181" s="15" t="n">
        <v>4</v>
      </c>
      <c r="H181" s="15" t="n">
        <v>1</v>
      </c>
      <c r="I181" s="15" t="n">
        <f aca="false">IF(AND(ISNUMBER(G181),ISNUMBER(H181)),G181*2-H181,"")</f>
        <v>7</v>
      </c>
      <c r="J181" s="15" t="s">
        <v>1010</v>
      </c>
      <c r="K181" s="15" t="s">
        <v>1011</v>
      </c>
      <c r="L181" s="15" t="s">
        <v>1219</v>
      </c>
      <c r="M181" s="15" t="s">
        <v>679</v>
      </c>
      <c r="N181" s="15" t="str">
        <f aca="false">IF(M181="","Not built (workbook: do not build)",IFERROR(INDEX(Pages!$F$2:$F$98,MATCH(M181,Pages!$B$2:$B$98,0)),"Not found"))</f>
        <v>Mortgage Investment Diversification and Concentration</v>
      </c>
      <c r="O181" s="15" t="s">
        <v>113</v>
      </c>
      <c r="P181" s="16"/>
      <c r="Q181" s="16"/>
      <c r="R181" s="16"/>
      <c r="S181" s="16"/>
      <c r="T181" s="15"/>
    </row>
    <row r="182" customFormat="false" ht="15" hidden="false" customHeight="false" outlineLevel="0" collapsed="false">
      <c r="A182" s="15" t="s">
        <v>683</v>
      </c>
      <c r="B182" s="15" t="s">
        <v>1015</v>
      </c>
      <c r="C182" s="15" t="s">
        <v>1196</v>
      </c>
      <c r="D182" s="15" t="s">
        <v>1016</v>
      </c>
      <c r="E182" s="15" t="s">
        <v>1058</v>
      </c>
      <c r="F182" s="15" t="s">
        <v>1009</v>
      </c>
      <c r="G182" s="15" t="n">
        <v>4</v>
      </c>
      <c r="H182" s="15" t="n">
        <v>2</v>
      </c>
      <c r="I182" s="15" t="n">
        <f aca="false">IF(AND(ISNUMBER(G182),ISNUMBER(H182)),G182*2-H182,"")</f>
        <v>6</v>
      </c>
      <c r="J182" s="15" t="s">
        <v>1010</v>
      </c>
      <c r="K182" s="15" t="s">
        <v>1011</v>
      </c>
      <c r="L182" s="15" t="s">
        <v>1219</v>
      </c>
      <c r="M182" s="15" t="s">
        <v>679</v>
      </c>
      <c r="N182" s="15" t="str">
        <f aca="false">IF(M182="","Not built (workbook: do not build)",IFERROR(INDEX(Pages!$F$2:$F$98,MATCH(M182,Pages!$B$2:$B$98,0)),"Not found"))</f>
        <v>Mortgage Investment Diversification and Concentration</v>
      </c>
      <c r="O182" s="15" t="s">
        <v>113</v>
      </c>
      <c r="P182" s="16"/>
      <c r="Q182" s="16"/>
      <c r="R182" s="16"/>
      <c r="S182" s="16"/>
      <c r="T182" s="15"/>
    </row>
    <row r="183" customFormat="false" ht="15" hidden="false" customHeight="false" outlineLevel="0" collapsed="false">
      <c r="A183" s="15" t="s">
        <v>1221</v>
      </c>
      <c r="B183" s="15" t="s">
        <v>1022</v>
      </c>
      <c r="C183" s="15" t="s">
        <v>1196</v>
      </c>
      <c r="D183" s="15" t="s">
        <v>1065</v>
      </c>
      <c r="E183" s="15" t="s">
        <v>1058</v>
      </c>
      <c r="F183" s="15" t="s">
        <v>1009</v>
      </c>
      <c r="G183" s="15" t="n">
        <v>4</v>
      </c>
      <c r="H183" s="15" t="n">
        <v>1</v>
      </c>
      <c r="I183" s="15" t="n">
        <f aca="false">IF(AND(ISNUMBER(G183),ISNUMBER(H183)),G183*2-H183,"")</f>
        <v>7</v>
      </c>
      <c r="J183" s="15" t="s">
        <v>1010</v>
      </c>
      <c r="K183" s="15" t="s">
        <v>1011</v>
      </c>
      <c r="L183" s="15" t="s">
        <v>1094</v>
      </c>
      <c r="M183" s="15" t="s">
        <v>257</v>
      </c>
      <c r="N183" s="15" t="str">
        <f aca="false">IF(M183="","Not built (workbook: do not build)",IFERROR(INDEX(Pages!$F$2:$F$98,MATCH(M183,Pages!$B$2:$B$98,0)),"Not found"))</f>
        <v>MIC Market Size in Canada: Sources and How to Read Them</v>
      </c>
      <c r="O183" s="15" t="s">
        <v>113</v>
      </c>
      <c r="P183" s="16"/>
      <c r="Q183" s="16"/>
      <c r="R183" s="16"/>
      <c r="S183" s="16"/>
      <c r="T183" s="15"/>
    </row>
    <row r="184" customFormat="false" ht="15" hidden="false" customHeight="false" outlineLevel="0" collapsed="false">
      <c r="A184" s="15" t="s">
        <v>1222</v>
      </c>
      <c r="B184" s="15" t="s">
        <v>1022</v>
      </c>
      <c r="C184" s="15" t="s">
        <v>1196</v>
      </c>
      <c r="D184" s="15" t="s">
        <v>1065</v>
      </c>
      <c r="E184" s="15" t="s">
        <v>1058</v>
      </c>
      <c r="F184" s="15" t="s">
        <v>1009</v>
      </c>
      <c r="G184" s="15" t="n">
        <v>3</v>
      </c>
      <c r="H184" s="15" t="n">
        <v>1</v>
      </c>
      <c r="I184" s="15" t="n">
        <f aca="false">IF(AND(ISNUMBER(G184),ISNUMBER(H184)),G184*2-H184,"")</f>
        <v>5</v>
      </c>
      <c r="J184" s="15" t="s">
        <v>1019</v>
      </c>
      <c r="K184" s="15" t="s">
        <v>1011</v>
      </c>
      <c r="L184" s="15" t="s">
        <v>1101</v>
      </c>
      <c r="M184" s="15" t="s">
        <v>837</v>
      </c>
      <c r="N184" s="15" t="str">
        <f aca="false">IF(M184="","Not built (workbook: do not build)",IFERROR(INDEX(Pages!$F$2:$F$98,MATCH(M184,Pages!$B$2:$B$98,0)),"Not found"))</f>
        <v>How to Read a MIC Financial Statement and OM</v>
      </c>
      <c r="O184" s="15" t="s">
        <v>113</v>
      </c>
      <c r="P184" s="16"/>
      <c r="Q184" s="16"/>
      <c r="R184" s="16"/>
      <c r="S184" s="16"/>
      <c r="T184" s="15"/>
    </row>
    <row r="185" customFormat="false" ht="15" hidden="false" customHeight="false" outlineLevel="0" collapsed="false">
      <c r="A185" s="15" t="s">
        <v>1223</v>
      </c>
      <c r="B185" s="15" t="s">
        <v>1022</v>
      </c>
      <c r="C185" s="15" t="s">
        <v>1196</v>
      </c>
      <c r="D185" s="15" t="s">
        <v>1065</v>
      </c>
      <c r="E185" s="15" t="s">
        <v>1058</v>
      </c>
      <c r="F185" s="15" t="s">
        <v>1009</v>
      </c>
      <c r="G185" s="15" t="n">
        <v>3</v>
      </c>
      <c r="H185" s="15" t="n">
        <v>1</v>
      </c>
      <c r="I185" s="15" t="n">
        <f aca="false">IF(AND(ISNUMBER(G185),ISNUMBER(H185)),G185*2-H185,"")</f>
        <v>5</v>
      </c>
      <c r="J185" s="15" t="s">
        <v>1019</v>
      </c>
      <c r="K185" s="15" t="s">
        <v>1020</v>
      </c>
      <c r="L185" s="15" t="s">
        <v>1101</v>
      </c>
      <c r="M185" s="15" t="s">
        <v>837</v>
      </c>
      <c r="N185" s="15" t="str">
        <f aca="false">IF(M185="","Not built (workbook: do not build)",IFERROR(INDEX(Pages!$F$2:$F$98,MATCH(M185,Pages!$B$2:$B$98,0)),"Not found"))</f>
        <v>How to Read a MIC Financial Statement and OM</v>
      </c>
      <c r="O185" s="15" t="s">
        <v>113</v>
      </c>
      <c r="P185" s="16"/>
      <c r="Q185" s="16"/>
      <c r="R185" s="16"/>
      <c r="S185" s="16"/>
      <c r="T185" s="15"/>
    </row>
    <row r="186" customFormat="false" ht="15" hidden="false" customHeight="false" outlineLevel="0" collapsed="false">
      <c r="A186" s="15" t="s">
        <v>1224</v>
      </c>
      <c r="B186" s="15" t="s">
        <v>1022</v>
      </c>
      <c r="C186" s="15" t="s">
        <v>1196</v>
      </c>
      <c r="D186" s="15" t="s">
        <v>1065</v>
      </c>
      <c r="E186" s="15" t="s">
        <v>1058</v>
      </c>
      <c r="F186" s="15" t="s">
        <v>1009</v>
      </c>
      <c r="G186" s="15" t="n">
        <v>4</v>
      </c>
      <c r="H186" s="15" t="n">
        <v>1</v>
      </c>
      <c r="I186" s="15" t="n">
        <f aca="false">IF(AND(ISNUMBER(G186),ISNUMBER(H186)),G186*2-H186,"")</f>
        <v>7</v>
      </c>
      <c r="J186" s="15" t="s">
        <v>1010</v>
      </c>
      <c r="K186" s="15" t="s">
        <v>1011</v>
      </c>
      <c r="L186" s="15" t="s">
        <v>1225</v>
      </c>
      <c r="M186" s="15" t="s">
        <v>697</v>
      </c>
      <c r="N186" s="15" t="str">
        <f aca="false">IF(M186="","Not built (workbook: do not build)",IFERROR(INDEX(Pages!$F$2:$F$98,MATCH(M186,Pages!$B$2:$B$98,0)),"Not found"))</f>
        <v>Mortgage Investment Red Flags and Fraud Prevention</v>
      </c>
      <c r="O186" s="15" t="s">
        <v>113</v>
      </c>
      <c r="P186" s="16"/>
      <c r="Q186" s="16"/>
      <c r="R186" s="16"/>
      <c r="S186" s="16"/>
      <c r="T186" s="15"/>
    </row>
    <row r="187" customFormat="false" ht="15" hidden="false" customHeight="false" outlineLevel="0" collapsed="false">
      <c r="A187" s="15" t="s">
        <v>700</v>
      </c>
      <c r="B187" s="15" t="s">
        <v>1022</v>
      </c>
      <c r="C187" s="15" t="s">
        <v>1196</v>
      </c>
      <c r="D187" s="15" t="s">
        <v>1065</v>
      </c>
      <c r="E187" s="15" t="s">
        <v>1058</v>
      </c>
      <c r="F187" s="15" t="s">
        <v>1009</v>
      </c>
      <c r="G187" s="15" t="n">
        <v>5</v>
      </c>
      <c r="H187" s="15" t="n">
        <v>1</v>
      </c>
      <c r="I187" s="15" t="n">
        <f aca="false">IF(AND(ISNUMBER(G187),ISNUMBER(H187)),G187*2-H187,"")</f>
        <v>9</v>
      </c>
      <c r="J187" s="15" t="s">
        <v>1047</v>
      </c>
      <c r="K187" s="15" t="s">
        <v>1011</v>
      </c>
      <c r="L187" s="15" t="s">
        <v>1225</v>
      </c>
      <c r="M187" s="15" t="s">
        <v>792</v>
      </c>
      <c r="N187" s="15" t="str">
        <f aca="false">IF(M187="","Not built (workbook: do not build)",IFERROR(INDEX(Pages!$F$2:$F$98,MATCH(M187,Pages!$B$2:$B$98,0)),"Not found"))</f>
        <v>Mortgage Investor Due Diligence Checklist | Lendmax Capital MIC</v>
      </c>
      <c r="O187" s="15" t="s">
        <v>113</v>
      </c>
      <c r="P187" s="16"/>
      <c r="Q187" s="16"/>
      <c r="R187" s="16"/>
      <c r="S187" s="16"/>
      <c r="T187" s="15"/>
    </row>
    <row r="188" customFormat="false" ht="15" hidden="false" customHeight="false" outlineLevel="0" collapsed="false">
      <c r="A188" s="15" t="s">
        <v>1226</v>
      </c>
      <c r="B188" s="15" t="s">
        <v>1054</v>
      </c>
      <c r="C188" s="15" t="s">
        <v>1196</v>
      </c>
      <c r="D188" s="15" t="s">
        <v>1065</v>
      </c>
      <c r="E188" s="15" t="s">
        <v>1058</v>
      </c>
      <c r="F188" s="15" t="s">
        <v>1009</v>
      </c>
      <c r="G188" s="15" t="n">
        <v>3</v>
      </c>
      <c r="H188" s="15" t="n">
        <v>1</v>
      </c>
      <c r="I188" s="15" t="n">
        <f aca="false">IF(AND(ISNUMBER(G188),ISNUMBER(H188)),G188*2-H188,"")</f>
        <v>5</v>
      </c>
      <c r="J188" s="15" t="s">
        <v>1019</v>
      </c>
      <c r="K188" s="15" t="s">
        <v>1011</v>
      </c>
      <c r="L188" s="15" t="s">
        <v>1090</v>
      </c>
      <c r="M188" s="15" t="s">
        <v>477</v>
      </c>
      <c r="N188" s="15" t="str">
        <f aca="false">IF(M188="","Not built (workbook: do not build)",IFERROR(INDEX(Pages!$F$2:$F$98,MATCH(M188,Pages!$B$2:$B$98,0)),"Not found"))</f>
        <v>MIC Qualification Requirements in Canada | Lendmax Capital MIC</v>
      </c>
      <c r="O188" s="15" t="s">
        <v>113</v>
      </c>
      <c r="P188" s="16"/>
      <c r="Q188" s="16"/>
      <c r="R188" s="16"/>
      <c r="S188" s="16"/>
      <c r="T188" s="15"/>
    </row>
    <row r="189" customFormat="false" ht="15" hidden="false" customHeight="false" outlineLevel="0" collapsed="false">
      <c r="A189" s="15" t="s">
        <v>1227</v>
      </c>
      <c r="B189" s="15" t="s">
        <v>1022</v>
      </c>
      <c r="C189" s="15" t="s">
        <v>1196</v>
      </c>
      <c r="D189" s="15" t="s">
        <v>1065</v>
      </c>
      <c r="E189" s="15" t="s">
        <v>1087</v>
      </c>
      <c r="F189" s="15" t="s">
        <v>1009</v>
      </c>
      <c r="G189" s="15" t="n">
        <v>3</v>
      </c>
      <c r="H189" s="15" t="n">
        <v>1</v>
      </c>
      <c r="I189" s="15" t="n">
        <f aca="false">IF(AND(ISNUMBER(G189),ISNUMBER(H189)),G189*2-H189,"")</f>
        <v>5</v>
      </c>
      <c r="J189" s="15" t="s">
        <v>1019</v>
      </c>
      <c r="K189" s="15" t="s">
        <v>1020</v>
      </c>
      <c r="L189" s="15" t="s">
        <v>1228</v>
      </c>
      <c r="M189" s="15" t="s">
        <v>917</v>
      </c>
      <c r="N189" s="15" t="str">
        <f aca="false">IF(M189="","Not built (workbook: do not build)",IFERROR(INDEX(Pages!$F$2:$F$98,MATCH(M189,Pages!$B$2:$B$98,0)),"Not found"))</f>
        <v>Title Search for a Mortgage Investment: What to Check</v>
      </c>
      <c r="O189" s="15" t="s">
        <v>113</v>
      </c>
      <c r="P189" s="16"/>
      <c r="Q189" s="16"/>
      <c r="R189" s="16"/>
      <c r="S189" s="16"/>
      <c r="T189" s="15"/>
    </row>
    <row r="190" customFormat="false" ht="15" hidden="false" customHeight="false" outlineLevel="0" collapsed="false">
      <c r="A190" s="15" t="s">
        <v>814</v>
      </c>
      <c r="B190" s="15" t="s">
        <v>1015</v>
      </c>
      <c r="C190" s="15" t="s">
        <v>1229</v>
      </c>
      <c r="D190" s="15" t="s">
        <v>1065</v>
      </c>
      <c r="E190" s="15" t="s">
        <v>1058</v>
      </c>
      <c r="F190" s="15" t="s">
        <v>1109</v>
      </c>
      <c r="G190" s="15" t="n">
        <v>5</v>
      </c>
      <c r="H190" s="15" t="n">
        <v>2</v>
      </c>
      <c r="I190" s="15" t="n">
        <f aca="false">IF(AND(ISNUMBER(G190),ISNUMBER(H190)),G190*2-H190,"")</f>
        <v>8</v>
      </c>
      <c r="J190" s="15" t="s">
        <v>1047</v>
      </c>
      <c r="K190" s="15" t="s">
        <v>1011</v>
      </c>
      <c r="L190" s="15" t="s">
        <v>1230</v>
      </c>
      <c r="M190" s="15" t="s">
        <v>810</v>
      </c>
      <c r="N190" s="15" t="str">
        <f aca="false">IF(M190="","Not built (workbook: do not build)",IFERROR(INDEX(Pages!$F$2:$F$98,MATCH(M190,Pages!$B$2:$B$98,0)),"Not found"))</f>
        <v>Power of Sale in Canada: What It Means for Investors</v>
      </c>
      <c r="O190" s="15" t="s">
        <v>113</v>
      </c>
      <c r="P190" s="16"/>
      <c r="Q190" s="16"/>
      <c r="R190" s="16"/>
      <c r="S190" s="16"/>
      <c r="T190" s="15" t="s">
        <v>1231</v>
      </c>
    </row>
    <row r="191" customFormat="false" ht="15" hidden="false" customHeight="false" outlineLevel="0" collapsed="false">
      <c r="A191" s="15" t="s">
        <v>1232</v>
      </c>
      <c r="B191" s="15" t="s">
        <v>1054</v>
      </c>
      <c r="C191" s="15" t="s">
        <v>1229</v>
      </c>
      <c r="D191" s="15" t="s">
        <v>1007</v>
      </c>
      <c r="E191" s="15" t="s">
        <v>1023</v>
      </c>
      <c r="F191" s="15" t="s">
        <v>1109</v>
      </c>
      <c r="G191" s="15" t="n">
        <v>5</v>
      </c>
      <c r="H191" s="15" t="n">
        <v>3</v>
      </c>
      <c r="I191" s="15" t="n">
        <f aca="false">IF(AND(ISNUMBER(G191),ISNUMBER(H191)),G191*2-H191,"")</f>
        <v>7</v>
      </c>
      <c r="J191" s="15" t="s">
        <v>1010</v>
      </c>
      <c r="K191" s="15" t="s">
        <v>1011</v>
      </c>
      <c r="L191" s="15" t="s">
        <v>1230</v>
      </c>
      <c r="M191" s="15" t="s">
        <v>810</v>
      </c>
      <c r="N191" s="15" t="str">
        <f aca="false">IF(M191="","Not built (workbook: do not build)",IFERROR(INDEX(Pages!$F$2:$F$98,MATCH(M191,Pages!$B$2:$B$98,0)),"Not found"))</f>
        <v>Power of Sale in Canada: What It Means for Investors</v>
      </c>
      <c r="O191" s="15" t="s">
        <v>113</v>
      </c>
      <c r="P191" s="16"/>
      <c r="Q191" s="16"/>
      <c r="R191" s="16"/>
      <c r="S191" s="16"/>
      <c r="T191" s="15" t="s">
        <v>1231</v>
      </c>
    </row>
    <row r="192" customFormat="false" ht="15" hidden="false" customHeight="false" outlineLevel="0" collapsed="false">
      <c r="A192" s="15" t="s">
        <v>544</v>
      </c>
      <c r="B192" s="15" t="s">
        <v>1022</v>
      </c>
      <c r="C192" s="15" t="s">
        <v>1229</v>
      </c>
      <c r="D192" s="15" t="s">
        <v>1065</v>
      </c>
      <c r="E192" s="15" t="s">
        <v>1058</v>
      </c>
      <c r="F192" s="15" t="s">
        <v>1009</v>
      </c>
      <c r="G192" s="15" t="n">
        <v>5</v>
      </c>
      <c r="H192" s="15" t="n">
        <v>1</v>
      </c>
      <c r="I192" s="15" t="n">
        <f aca="false">IF(AND(ISNUMBER(G192),ISNUMBER(H192)),G192*2-H192,"")</f>
        <v>9</v>
      </c>
      <c r="J192" s="15" t="s">
        <v>1047</v>
      </c>
      <c r="K192" s="15" t="s">
        <v>1011</v>
      </c>
      <c r="L192" s="15" t="s">
        <v>1233</v>
      </c>
      <c r="M192" s="15" t="s">
        <v>540</v>
      </c>
      <c r="N192" s="15" t="str">
        <f aca="false">IF(M192="","Not built (workbook: do not build)",IFERROR(INDEX(Pages!$F$2:$F$98,MATCH(M192,Pages!$B$2:$B$98,0)),"Not found"))</f>
        <v>Foreclosure Process for Mortgage Investors in Canada</v>
      </c>
      <c r="O192" s="15" t="s">
        <v>113</v>
      </c>
      <c r="P192" s="16"/>
      <c r="Q192" s="16"/>
      <c r="R192" s="16"/>
      <c r="S192" s="16"/>
      <c r="T192" s="15"/>
    </row>
    <row r="193" customFormat="false" ht="15" hidden="false" customHeight="false" outlineLevel="0" collapsed="false">
      <c r="A193" s="15" t="s">
        <v>1234</v>
      </c>
      <c r="B193" s="15" t="s">
        <v>1022</v>
      </c>
      <c r="C193" s="15" t="s">
        <v>1229</v>
      </c>
      <c r="D193" s="15" t="s">
        <v>350</v>
      </c>
      <c r="E193" s="15" t="s">
        <v>1058</v>
      </c>
      <c r="F193" s="15" t="s">
        <v>1009</v>
      </c>
      <c r="G193" s="15" t="n">
        <v>5</v>
      </c>
      <c r="H193" s="15" t="n">
        <v>2</v>
      </c>
      <c r="I193" s="15" t="n">
        <f aca="false">IF(AND(ISNUMBER(G193),ISNUMBER(H193)),G193*2-H193,"")</f>
        <v>8</v>
      </c>
      <c r="J193" s="15" t="s">
        <v>1047</v>
      </c>
      <c r="K193" s="15" t="s">
        <v>1011</v>
      </c>
      <c r="L193" s="15" t="s">
        <v>1233</v>
      </c>
      <c r="M193" s="15" t="s">
        <v>540</v>
      </c>
      <c r="N193" s="15" t="str">
        <f aca="false">IF(M193="","Not built (workbook: do not build)",IFERROR(INDEX(Pages!$F$2:$F$98,MATCH(M193,Pages!$B$2:$B$98,0)),"Not found"))</f>
        <v>Foreclosure Process for Mortgage Investors in Canada</v>
      </c>
      <c r="O193" s="15" t="s">
        <v>113</v>
      </c>
      <c r="P193" s="16"/>
      <c r="Q193" s="16"/>
      <c r="R193" s="16"/>
      <c r="S193" s="16"/>
      <c r="T193" s="15"/>
    </row>
    <row r="194" customFormat="false" ht="15" hidden="false" customHeight="false" outlineLevel="0" collapsed="false">
      <c r="A194" s="15" t="s">
        <v>1235</v>
      </c>
      <c r="B194" s="15" t="s">
        <v>1022</v>
      </c>
      <c r="C194" s="15" t="s">
        <v>1229</v>
      </c>
      <c r="D194" s="15" t="s">
        <v>1065</v>
      </c>
      <c r="E194" s="15" t="s">
        <v>1058</v>
      </c>
      <c r="F194" s="15" t="s">
        <v>1236</v>
      </c>
      <c r="G194" s="15" t="n">
        <v>4</v>
      </c>
      <c r="H194" s="15" t="n">
        <v>1</v>
      </c>
      <c r="I194" s="15" t="n">
        <f aca="false">IF(AND(ISNUMBER(G194),ISNUMBER(H194)),G194*2-H194,"")</f>
        <v>7</v>
      </c>
      <c r="J194" s="15" t="s">
        <v>1010</v>
      </c>
      <c r="K194" s="15" t="s">
        <v>1011</v>
      </c>
      <c r="L194" s="15" t="s">
        <v>1237</v>
      </c>
      <c r="M194" s="15" t="s">
        <v>713</v>
      </c>
      <c r="N194" s="15" t="str">
        <f aca="false">IF(M194="","Not built (workbook: do not build)",IFERROR(INDEX(Pages!$F$2:$F$98,MATCH(M194,Pages!$B$2:$B$98,0)),"Not found"))</f>
        <v>BC Mortgage Services Act: What Investors Need to Know</v>
      </c>
      <c r="O194" s="15" t="s">
        <v>113</v>
      </c>
      <c r="P194" s="16"/>
      <c r="Q194" s="16"/>
      <c r="R194" s="16"/>
      <c r="S194" s="16"/>
      <c r="T194" s="15" t="s">
        <v>1238</v>
      </c>
    </row>
    <row r="195" customFormat="false" ht="15" hidden="false" customHeight="false" outlineLevel="0" collapsed="false">
      <c r="A195" s="15" t="s">
        <v>1239</v>
      </c>
      <c r="B195" s="15" t="s">
        <v>1022</v>
      </c>
      <c r="C195" s="15" t="s">
        <v>1229</v>
      </c>
      <c r="D195" s="15" t="s">
        <v>1065</v>
      </c>
      <c r="E195" s="15" t="s">
        <v>1058</v>
      </c>
      <c r="F195" s="15" t="s">
        <v>1240</v>
      </c>
      <c r="G195" s="15" t="n">
        <v>4</v>
      </c>
      <c r="H195" s="15" t="n">
        <v>1</v>
      </c>
      <c r="I195" s="15" t="n">
        <f aca="false">IF(AND(ISNUMBER(G195),ISNUMBER(H195)),G195*2-H195,"")</f>
        <v>7</v>
      </c>
      <c r="J195" s="15" t="s">
        <v>1010</v>
      </c>
      <c r="K195" s="15" t="s">
        <v>1011</v>
      </c>
      <c r="L195" s="15" t="s">
        <v>1241</v>
      </c>
      <c r="M195" s="15" t="s">
        <v>705</v>
      </c>
      <c r="N195" s="15" t="str">
        <f aca="false">IF(M195="","Not built (workbook: do not build)",IFERROR(INDEX(Pages!$F$2:$F$98,MATCH(M195,Pages!$B$2:$B$98,0)),"Not found"))</f>
        <v>Mortgage Investing in Alberta: Regulation and Enforcement</v>
      </c>
      <c r="O195" s="15" t="s">
        <v>113</v>
      </c>
      <c r="P195" s="16"/>
      <c r="Q195" s="16"/>
      <c r="R195" s="16"/>
      <c r="S195" s="16"/>
      <c r="T195" s="15" t="s">
        <v>1242</v>
      </c>
    </row>
    <row r="196" customFormat="false" ht="15" hidden="false" customHeight="false" outlineLevel="0" collapsed="false">
      <c r="A196" s="15" t="s">
        <v>642</v>
      </c>
      <c r="B196" s="15" t="s">
        <v>1022</v>
      </c>
      <c r="C196" s="15" t="s">
        <v>1229</v>
      </c>
      <c r="D196" s="15" t="s">
        <v>1065</v>
      </c>
      <c r="E196" s="15" t="s">
        <v>1058</v>
      </c>
      <c r="F196" s="15" t="s">
        <v>1243</v>
      </c>
      <c r="G196" s="15" t="n">
        <v>3</v>
      </c>
      <c r="H196" s="15" t="n">
        <v>1</v>
      </c>
      <c r="I196" s="15" t="n">
        <f aca="false">IF(AND(ISNUMBER(G196),ISNUMBER(H196)),G196*2-H196,"")</f>
        <v>5</v>
      </c>
      <c r="J196" s="15" t="s">
        <v>1019</v>
      </c>
      <c r="K196" s="15" t="s">
        <v>1011</v>
      </c>
      <c r="L196" s="15" t="s">
        <v>1244</v>
      </c>
      <c r="M196" s="15" t="s">
        <v>638</v>
      </c>
      <c r="N196" s="15" t="str">
        <f aca="false">IF(M196="","Not built (workbook: do not build)",IFERROR(INDEX(Pages!$F$2:$F$98,MATCH(M196,Pages!$B$2:$B$98,0)),"Not found"))</f>
        <v>Mortgage Investing in Quebec: Hypothecs and Recourses</v>
      </c>
      <c r="O196" s="15" t="s">
        <v>113</v>
      </c>
      <c r="P196" s="16"/>
      <c r="Q196" s="16"/>
      <c r="R196" s="16"/>
      <c r="S196" s="16"/>
      <c r="T196" s="15" t="s">
        <v>1245</v>
      </c>
    </row>
    <row r="197" customFormat="false" ht="15" hidden="false" customHeight="false" outlineLevel="0" collapsed="false">
      <c r="A197" s="15" t="s">
        <v>1246</v>
      </c>
      <c r="B197" s="15" t="s">
        <v>1022</v>
      </c>
      <c r="C197" s="15" t="s">
        <v>1229</v>
      </c>
      <c r="D197" s="15" t="s">
        <v>1065</v>
      </c>
      <c r="E197" s="15" t="s">
        <v>1058</v>
      </c>
      <c r="F197" s="15" t="s">
        <v>1009</v>
      </c>
      <c r="G197" s="15" t="n">
        <v>4</v>
      </c>
      <c r="H197" s="15" t="n">
        <v>1</v>
      </c>
      <c r="I197" s="15" t="n">
        <f aca="false">IF(AND(ISNUMBER(G197),ISNUMBER(H197)),G197*2-H197,"")</f>
        <v>7</v>
      </c>
      <c r="J197" s="15" t="s">
        <v>1010</v>
      </c>
      <c r="K197" s="15" t="s">
        <v>1011</v>
      </c>
      <c r="L197" s="15" t="s">
        <v>1233</v>
      </c>
      <c r="M197" s="15" t="s">
        <v>540</v>
      </c>
      <c r="N197" s="15" t="str">
        <f aca="false">IF(M197="","Not built (workbook: do not build)",IFERROR(INDEX(Pages!$F$2:$F$98,MATCH(M197,Pages!$B$2:$B$98,0)),"Not found"))</f>
        <v>Foreclosure Process for Mortgage Investors in Canada</v>
      </c>
      <c r="O197" s="15" t="s">
        <v>113</v>
      </c>
      <c r="P197" s="16"/>
      <c r="Q197" s="16"/>
      <c r="R197" s="16"/>
      <c r="S197" s="16"/>
      <c r="T197" s="15"/>
    </row>
    <row r="198" customFormat="false" ht="15" hidden="false" customHeight="false" outlineLevel="0" collapsed="false">
      <c r="A198" s="15" t="s">
        <v>1247</v>
      </c>
      <c r="B198" s="15" t="s">
        <v>1054</v>
      </c>
      <c r="C198" s="15" t="s">
        <v>1229</v>
      </c>
      <c r="D198" s="15" t="s">
        <v>1065</v>
      </c>
      <c r="E198" s="15" t="s">
        <v>1058</v>
      </c>
      <c r="F198" s="15" t="s">
        <v>1109</v>
      </c>
      <c r="G198" s="15" t="n">
        <v>4</v>
      </c>
      <c r="H198" s="15" t="n">
        <v>2</v>
      </c>
      <c r="I198" s="15" t="n">
        <f aca="false">IF(AND(ISNUMBER(G198),ISNUMBER(H198)),G198*2-H198,"")</f>
        <v>6</v>
      </c>
      <c r="J198" s="15" t="s">
        <v>1010</v>
      </c>
      <c r="K198" s="15" t="s">
        <v>1011</v>
      </c>
      <c r="L198" s="15" t="s">
        <v>1230</v>
      </c>
      <c r="M198" s="15" t="s">
        <v>810</v>
      </c>
      <c r="N198" s="15" t="str">
        <f aca="false">IF(M198="","Not built (workbook: do not build)",IFERROR(INDEX(Pages!$F$2:$F$98,MATCH(M198,Pages!$B$2:$B$98,0)),"Not found"))</f>
        <v>Power of Sale in Canada: What It Means for Investors</v>
      </c>
      <c r="O198" s="15" t="s">
        <v>113</v>
      </c>
      <c r="P198" s="16"/>
      <c r="Q198" s="16"/>
      <c r="R198" s="16"/>
      <c r="S198" s="16"/>
      <c r="T198" s="15" t="s">
        <v>1248</v>
      </c>
    </row>
    <row r="199" customFormat="false" ht="15" hidden="false" customHeight="false" outlineLevel="0" collapsed="false">
      <c r="A199" s="15" t="s">
        <v>308</v>
      </c>
      <c r="B199" s="15" t="s">
        <v>1022</v>
      </c>
      <c r="C199" s="15" t="s">
        <v>1229</v>
      </c>
      <c r="D199" s="15" t="s">
        <v>1065</v>
      </c>
      <c r="E199" s="15" t="s">
        <v>1058</v>
      </c>
      <c r="F199" s="15" t="s">
        <v>1009</v>
      </c>
      <c r="G199" s="15" t="n">
        <v>5</v>
      </c>
      <c r="H199" s="15" t="n">
        <v>1</v>
      </c>
      <c r="I199" s="15" t="n">
        <f aca="false">IF(AND(ISNUMBER(G199),ISNUMBER(H199)),G199*2-H199,"")</f>
        <v>9</v>
      </c>
      <c r="J199" s="15" t="s">
        <v>1047</v>
      </c>
      <c r="K199" s="15" t="s">
        <v>1011</v>
      </c>
      <c r="L199" s="15" t="s">
        <v>1204</v>
      </c>
      <c r="M199" s="15" t="s">
        <v>304</v>
      </c>
      <c r="N199" s="15" t="str">
        <f aca="false">IF(M199="","Not built (workbook: do not build)",IFERROR(INDEX(Pages!$F$2:$F$98,MATCH(M199,Pages!$B$2:$B$98,0)),"Not found"))</f>
        <v>The Cost of Enforcing a Mortgage Investment | Lendmax Capital MIC</v>
      </c>
      <c r="O199" s="15" t="s">
        <v>113</v>
      </c>
      <c r="P199" s="16"/>
      <c r="Q199" s="16"/>
      <c r="R199" s="16"/>
      <c r="S199" s="16"/>
      <c r="T199" s="15"/>
    </row>
    <row r="200" customFormat="false" ht="15" hidden="false" customHeight="false" outlineLevel="0" collapsed="false">
      <c r="A200" s="15" t="s">
        <v>1249</v>
      </c>
      <c r="B200" s="15" t="s">
        <v>1054</v>
      </c>
      <c r="C200" s="15" t="s">
        <v>1229</v>
      </c>
      <c r="D200" s="15" t="s">
        <v>1065</v>
      </c>
      <c r="E200" s="15" t="s">
        <v>1058</v>
      </c>
      <c r="F200" s="15" t="s">
        <v>1009</v>
      </c>
      <c r="G200" s="15" t="n">
        <v>5</v>
      </c>
      <c r="H200" s="15" t="n">
        <v>2</v>
      </c>
      <c r="I200" s="15" t="n">
        <f aca="false">IF(AND(ISNUMBER(G200),ISNUMBER(H200)),G200*2-H200,"")</f>
        <v>8</v>
      </c>
      <c r="J200" s="15" t="s">
        <v>1047</v>
      </c>
      <c r="K200" s="15" t="s">
        <v>1011</v>
      </c>
      <c r="L200" s="15" t="s">
        <v>1204</v>
      </c>
      <c r="M200" s="15" t="s">
        <v>237</v>
      </c>
      <c r="N200" s="15" t="str">
        <f aca="false">IF(M200="","Not built (workbook: do not build)",IFERROR(INDEX(Pages!$F$2:$F$98,MATCH(M200,Pages!$B$2:$B$98,0)),"Not found"))</f>
        <v>Borrower Default on a Mortgage Investment | Lendmax Capital MIC</v>
      </c>
      <c r="O200" s="15" t="s">
        <v>113</v>
      </c>
      <c r="P200" s="16"/>
      <c r="Q200" s="16"/>
      <c r="R200" s="16"/>
      <c r="S200" s="16"/>
      <c r="T200" s="15"/>
    </row>
    <row r="201" customFormat="false" ht="15" hidden="false" customHeight="false" outlineLevel="0" collapsed="false">
      <c r="A201" s="15" t="s">
        <v>1250</v>
      </c>
      <c r="B201" s="15" t="s">
        <v>1022</v>
      </c>
      <c r="C201" s="15" t="s">
        <v>1229</v>
      </c>
      <c r="D201" s="15" t="s">
        <v>1016</v>
      </c>
      <c r="E201" s="15" t="s">
        <v>1058</v>
      </c>
      <c r="F201" s="15" t="s">
        <v>1009</v>
      </c>
      <c r="G201" s="15" t="n">
        <v>3</v>
      </c>
      <c r="H201" s="15" t="n">
        <v>1</v>
      </c>
      <c r="I201" s="15" t="n">
        <f aca="false">IF(AND(ISNUMBER(G201),ISNUMBER(H201)),G201*2-H201,"")</f>
        <v>5</v>
      </c>
      <c r="J201" s="15" t="s">
        <v>1019</v>
      </c>
      <c r="K201" s="15" t="s">
        <v>1020</v>
      </c>
      <c r="L201" s="15" t="s">
        <v>1134</v>
      </c>
      <c r="M201" s="15" t="s">
        <v>183</v>
      </c>
      <c r="N201" s="15" t="str">
        <f aca="false">IF(M201="","Not built (workbook: do not build)",IFERROR(INDEX(Pages!$F$2:$F$98,MATCH(M201,Pages!$B$2:$B$98,0)),"Not found"))</f>
        <v>Mortgage Investment Glossary for Canadian Investors</v>
      </c>
      <c r="O201" s="15" t="s">
        <v>113</v>
      </c>
      <c r="P201" s="16"/>
      <c r="Q201" s="16"/>
      <c r="R201" s="16"/>
      <c r="S201" s="16"/>
      <c r="T201" s="15"/>
    </row>
    <row r="202" customFormat="false" ht="15" hidden="false" customHeight="false" outlineLevel="0" collapsed="false">
      <c r="A202" s="15" t="s">
        <v>1251</v>
      </c>
      <c r="B202" s="15" t="s">
        <v>1054</v>
      </c>
      <c r="C202" s="15" t="s">
        <v>1229</v>
      </c>
      <c r="D202" s="15" t="s">
        <v>1065</v>
      </c>
      <c r="E202" s="15" t="s">
        <v>1084</v>
      </c>
      <c r="F202" s="15" t="s">
        <v>1009</v>
      </c>
      <c r="G202" s="15" t="n">
        <v>4</v>
      </c>
      <c r="H202" s="15" t="n">
        <v>1</v>
      </c>
      <c r="I202" s="15" t="n">
        <f aca="false">IF(AND(ISNUMBER(G202),ISNUMBER(H202)),G202*2-H202,"")</f>
        <v>7</v>
      </c>
      <c r="J202" s="15" t="s">
        <v>1010</v>
      </c>
      <c r="K202" s="15" t="s">
        <v>1011</v>
      </c>
      <c r="L202" s="15" t="s">
        <v>1204</v>
      </c>
      <c r="M202" s="15" t="s">
        <v>237</v>
      </c>
      <c r="N202" s="15" t="str">
        <f aca="false">IF(M202="","Not built (workbook: do not build)",IFERROR(INDEX(Pages!$F$2:$F$98,MATCH(M202,Pages!$B$2:$B$98,0)),"Not found"))</f>
        <v>Borrower Default on a Mortgage Investment | Lendmax Capital MIC</v>
      </c>
      <c r="O202" s="15" t="s">
        <v>113</v>
      </c>
      <c r="P202" s="16"/>
      <c r="Q202" s="16"/>
      <c r="R202" s="16"/>
      <c r="S202" s="16"/>
      <c r="T202" s="15"/>
    </row>
    <row r="203" customFormat="false" ht="15" hidden="false" customHeight="false" outlineLevel="0" collapsed="false">
      <c r="A203" s="15" t="s">
        <v>1252</v>
      </c>
      <c r="B203" s="15" t="s">
        <v>1022</v>
      </c>
      <c r="C203" s="15" t="s">
        <v>1229</v>
      </c>
      <c r="D203" s="15" t="s">
        <v>1065</v>
      </c>
      <c r="E203" s="15" t="s">
        <v>1058</v>
      </c>
      <c r="F203" s="15" t="s">
        <v>1009</v>
      </c>
      <c r="G203" s="15" t="n">
        <v>4</v>
      </c>
      <c r="H203" s="15" t="n">
        <v>1</v>
      </c>
      <c r="I203" s="15" t="n">
        <f aca="false">IF(AND(ISNUMBER(G203),ISNUMBER(H203)),G203*2-H203,"")</f>
        <v>7</v>
      </c>
      <c r="J203" s="15" t="s">
        <v>1010</v>
      </c>
      <c r="K203" s="15" t="s">
        <v>1011</v>
      </c>
      <c r="L203" s="15" t="s">
        <v>1130</v>
      </c>
      <c r="M203" s="15" t="s">
        <v>917</v>
      </c>
      <c r="N203" s="15" t="str">
        <f aca="false">IF(M203="","Not built (workbook: do not build)",IFERROR(INDEX(Pages!$F$2:$F$98,MATCH(M203,Pages!$B$2:$B$98,0)),"Not found"))</f>
        <v>Title Search for a Mortgage Investment: What to Check</v>
      </c>
      <c r="O203" s="15" t="s">
        <v>113</v>
      </c>
      <c r="P203" s="16"/>
      <c r="Q203" s="16"/>
      <c r="R203" s="16"/>
      <c r="S203" s="16"/>
      <c r="T203" s="15"/>
    </row>
    <row r="204" customFormat="false" ht="15" hidden="false" customHeight="false" outlineLevel="0" collapsed="false">
      <c r="A204" s="15" t="s">
        <v>1253</v>
      </c>
      <c r="B204" s="15" t="s">
        <v>1015</v>
      </c>
      <c r="C204" s="15" t="s">
        <v>1229</v>
      </c>
      <c r="D204" s="15" t="s">
        <v>1065</v>
      </c>
      <c r="E204" s="15" t="s">
        <v>1058</v>
      </c>
      <c r="F204" s="15" t="s">
        <v>1009</v>
      </c>
      <c r="G204" s="15" t="n">
        <v>5</v>
      </c>
      <c r="H204" s="15" t="n">
        <v>1</v>
      </c>
      <c r="I204" s="15" t="n">
        <f aca="false">IF(AND(ISNUMBER(G204),ISNUMBER(H204)),G204*2-H204,"")</f>
        <v>9</v>
      </c>
      <c r="J204" s="15" t="s">
        <v>1047</v>
      </c>
      <c r="K204" s="15" t="s">
        <v>1011</v>
      </c>
      <c r="L204" s="15" t="s">
        <v>1172</v>
      </c>
      <c r="M204" s="15" t="s">
        <v>783</v>
      </c>
      <c r="N204" s="15" t="str">
        <f aca="false">IF(M204="","Not built (workbook: do not build)",IFERROR(INDEX(Pages!$F$2:$F$98,MATCH(M204,Pages!$B$2:$B$98,0)),"Not found"))</f>
        <v>Mortgage Investment Term Length, Renewals and Exits</v>
      </c>
      <c r="O204" s="15" t="s">
        <v>113</v>
      </c>
      <c r="P204" s="16"/>
      <c r="Q204" s="16"/>
      <c r="R204" s="16"/>
      <c r="S204" s="16"/>
      <c r="T204" s="15"/>
    </row>
    <row r="205" customFormat="false" ht="15" hidden="false" customHeight="false" outlineLevel="0" collapsed="false">
      <c r="A205" s="15" t="s">
        <v>726</v>
      </c>
      <c r="B205" s="15" t="s">
        <v>1015</v>
      </c>
      <c r="C205" s="15" t="s">
        <v>1254</v>
      </c>
      <c r="D205" s="15" t="s">
        <v>1065</v>
      </c>
      <c r="E205" s="15" t="s">
        <v>1058</v>
      </c>
      <c r="F205" s="15" t="s">
        <v>1009</v>
      </c>
      <c r="G205" s="15" t="n">
        <v>4</v>
      </c>
      <c r="H205" s="15" t="n">
        <v>1</v>
      </c>
      <c r="I205" s="15" t="n">
        <f aca="false">IF(AND(ISNUMBER(G205),ISNUMBER(H205)),G205*2-H205,"")</f>
        <v>7</v>
      </c>
      <c r="J205" s="15" t="s">
        <v>1010</v>
      </c>
      <c r="K205" s="15" t="s">
        <v>1011</v>
      </c>
      <c r="L205" s="15" t="s">
        <v>1255</v>
      </c>
      <c r="M205" s="15" t="s">
        <v>722</v>
      </c>
      <c r="N205" s="15" t="str">
        <f aca="false">IF(M205="","Not built (workbook: do not build)",IFERROR(INDEX(Pages!$F$2:$F$98,MATCH(M205,Pages!$B$2:$B$98,0)),"Not found"))</f>
        <v>Mortgage Investment Regulations in Canada | Lendmax Capital MIC</v>
      </c>
      <c r="O205" s="15" t="s">
        <v>113</v>
      </c>
      <c r="P205" s="16"/>
      <c r="Q205" s="16"/>
      <c r="R205" s="16"/>
      <c r="S205" s="16"/>
      <c r="T205" s="15"/>
    </row>
    <row r="206" customFormat="false" ht="15" hidden="false" customHeight="false" outlineLevel="0" collapsed="false">
      <c r="A206" s="15" t="s">
        <v>1256</v>
      </c>
      <c r="B206" s="15" t="s">
        <v>1054</v>
      </c>
      <c r="C206" s="15" t="s">
        <v>1254</v>
      </c>
      <c r="D206" s="15" t="s">
        <v>1065</v>
      </c>
      <c r="E206" s="15" t="s">
        <v>1058</v>
      </c>
      <c r="F206" s="15" t="s">
        <v>1009</v>
      </c>
      <c r="G206" s="15" t="n">
        <v>4</v>
      </c>
      <c r="H206" s="15" t="n">
        <v>1</v>
      </c>
      <c r="I206" s="15" t="n">
        <f aca="false">IF(AND(ISNUMBER(G206),ISNUMBER(H206)),G206*2-H206,"")</f>
        <v>7</v>
      </c>
      <c r="J206" s="15" t="s">
        <v>1010</v>
      </c>
      <c r="K206" s="15" t="s">
        <v>1011</v>
      </c>
      <c r="L206" s="15" t="s">
        <v>1255</v>
      </c>
      <c r="M206" s="15" t="s">
        <v>722</v>
      </c>
      <c r="N206" s="15" t="str">
        <f aca="false">IF(M206="","Not built (workbook: do not build)",IFERROR(INDEX(Pages!$F$2:$F$98,MATCH(M206,Pages!$B$2:$B$98,0)),"Not found"))</f>
        <v>Mortgage Investment Regulations in Canada | Lendmax Capital MIC</v>
      </c>
      <c r="O206" s="15" t="s">
        <v>113</v>
      </c>
      <c r="P206" s="16"/>
      <c r="Q206" s="16"/>
      <c r="R206" s="16"/>
      <c r="S206" s="16"/>
      <c r="T206" s="15"/>
    </row>
    <row r="207" customFormat="false" ht="15" hidden="false" customHeight="false" outlineLevel="0" collapsed="false">
      <c r="A207" s="15" t="s">
        <v>1257</v>
      </c>
      <c r="B207" s="15" t="s">
        <v>1022</v>
      </c>
      <c r="C207" s="15" t="s">
        <v>1254</v>
      </c>
      <c r="D207" s="15" t="s">
        <v>1065</v>
      </c>
      <c r="E207" s="15" t="s">
        <v>1058</v>
      </c>
      <c r="F207" s="15" t="s">
        <v>1009</v>
      </c>
      <c r="G207" s="15" t="n">
        <v>3</v>
      </c>
      <c r="H207" s="15" t="n">
        <v>1</v>
      </c>
      <c r="I207" s="15" t="n">
        <f aca="false">IF(AND(ISNUMBER(G207),ISNUMBER(H207)),G207*2-H207,"")</f>
        <v>5</v>
      </c>
      <c r="J207" s="15" t="s">
        <v>1019</v>
      </c>
      <c r="K207" s="15" t="s">
        <v>1011</v>
      </c>
      <c r="L207" s="15" t="s">
        <v>1258</v>
      </c>
      <c r="M207" s="15" t="s">
        <v>757</v>
      </c>
      <c r="N207" s="15" t="str">
        <f aca="false">IF(M207="","Not built (workbook: do not build)",IFERROR(INDEX(Pages!$F$2:$F$98,MATCH(M207,Pages!$B$2:$B$98,0)),"Not found"))</f>
        <v>Mortgage Broker Licensing by Province, Compared</v>
      </c>
      <c r="O207" s="15" t="s">
        <v>113</v>
      </c>
      <c r="P207" s="16"/>
      <c r="Q207" s="16"/>
      <c r="R207" s="16"/>
      <c r="S207" s="16"/>
      <c r="T207" s="15"/>
    </row>
    <row r="208" customFormat="false" ht="15" hidden="false" customHeight="false" outlineLevel="0" collapsed="false">
      <c r="A208" s="15" t="s">
        <v>535</v>
      </c>
      <c r="B208" s="15" t="s">
        <v>1054</v>
      </c>
      <c r="C208" s="15" t="s">
        <v>1254</v>
      </c>
      <c r="D208" s="15" t="s">
        <v>1007</v>
      </c>
      <c r="E208" s="15" t="s">
        <v>1023</v>
      </c>
      <c r="F208" s="15" t="s">
        <v>1009</v>
      </c>
      <c r="G208" s="15" t="n">
        <v>3</v>
      </c>
      <c r="H208" s="15" t="n">
        <v>1</v>
      </c>
      <c r="I208" s="15" t="n">
        <f aca="false">IF(AND(ISNUMBER(G208),ISNUMBER(H208)),G208*2-H208,"")</f>
        <v>5</v>
      </c>
      <c r="J208" s="15" t="s">
        <v>1019</v>
      </c>
      <c r="K208" s="15" t="s">
        <v>1011</v>
      </c>
      <c r="L208" s="15" t="s">
        <v>1258</v>
      </c>
      <c r="M208" s="15" t="s">
        <v>531</v>
      </c>
      <c r="N208" s="15" t="str">
        <f aca="false">IF(M208="","Not built (workbook: do not build)",IFERROR(INDEX(Pages!$F$2:$F$98,MATCH(M208,Pages!$B$2:$B$98,0)),"Not found"))</f>
        <v>What Is a Mortgage Administrator? | Lendmax Capital MIC</v>
      </c>
      <c r="O208" s="15" t="s">
        <v>113</v>
      </c>
      <c r="P208" s="16"/>
      <c r="Q208" s="16"/>
      <c r="R208" s="16"/>
      <c r="S208" s="16"/>
      <c r="T208" s="15"/>
    </row>
    <row r="209" customFormat="false" ht="15" hidden="false" customHeight="false" outlineLevel="0" collapsed="false">
      <c r="A209" s="15" t="s">
        <v>200</v>
      </c>
      <c r="B209" s="15" t="s">
        <v>1015</v>
      </c>
      <c r="C209" s="15" t="s">
        <v>1254</v>
      </c>
      <c r="D209" s="15" t="s">
        <v>1065</v>
      </c>
      <c r="E209" s="15" t="s">
        <v>1058</v>
      </c>
      <c r="F209" s="15" t="s">
        <v>1009</v>
      </c>
      <c r="G209" s="15" t="n">
        <v>4</v>
      </c>
      <c r="H209" s="15" t="n">
        <v>3</v>
      </c>
      <c r="I209" s="15" t="n">
        <f aca="false">IF(AND(ISNUMBER(G209),ISNUMBER(H209)),G209*2-H209,"")</f>
        <v>5</v>
      </c>
      <c r="J209" s="15" t="s">
        <v>1019</v>
      </c>
      <c r="K209" s="15" t="s">
        <v>1011</v>
      </c>
      <c r="L209" s="15" t="s">
        <v>1259</v>
      </c>
      <c r="M209" s="15" t="s">
        <v>195</v>
      </c>
      <c r="N209" s="15" t="str">
        <f aca="false">IF(M209="","Not built (workbook: do not build)",IFERROR(INDEX(Pages!$F$2:$F$98,MATCH(M209,Pages!$B$2:$B$98,0)),"Not found"))</f>
        <v>Accredited Investor in Canada: Who Qualifies</v>
      </c>
      <c r="O209" s="15" t="s">
        <v>113</v>
      </c>
      <c r="P209" s="16"/>
      <c r="Q209" s="16"/>
      <c r="R209" s="16"/>
      <c r="S209" s="16"/>
      <c r="T209" s="15"/>
    </row>
    <row r="210" customFormat="false" ht="15" hidden="false" customHeight="false" outlineLevel="0" collapsed="false">
      <c r="A210" s="15" t="s">
        <v>1260</v>
      </c>
      <c r="B210" s="15" t="s">
        <v>1054</v>
      </c>
      <c r="C210" s="15" t="s">
        <v>1254</v>
      </c>
      <c r="D210" s="15" t="s">
        <v>1065</v>
      </c>
      <c r="E210" s="15" t="s">
        <v>1058</v>
      </c>
      <c r="F210" s="15" t="s">
        <v>1009</v>
      </c>
      <c r="G210" s="15" t="n">
        <v>4</v>
      </c>
      <c r="H210" s="15" t="n">
        <v>2</v>
      </c>
      <c r="I210" s="15" t="n">
        <f aca="false">IF(AND(ISNUMBER(G210),ISNUMBER(H210)),G210*2-H210,"")</f>
        <v>6</v>
      </c>
      <c r="J210" s="15" t="s">
        <v>1010</v>
      </c>
      <c r="K210" s="15" t="s">
        <v>1011</v>
      </c>
      <c r="L210" s="15" t="s">
        <v>1259</v>
      </c>
      <c r="M210" s="15" t="s">
        <v>195</v>
      </c>
      <c r="N210" s="15" t="str">
        <f aca="false">IF(M210="","Not built (workbook: do not build)",IFERROR(INDEX(Pages!$F$2:$F$98,MATCH(M210,Pages!$B$2:$B$98,0)),"Not found"))</f>
        <v>Accredited Investor in Canada: Who Qualifies</v>
      </c>
      <c r="O210" s="15" t="s">
        <v>113</v>
      </c>
      <c r="P210" s="16"/>
      <c r="Q210" s="16"/>
      <c r="R210" s="16"/>
      <c r="S210" s="16"/>
      <c r="T210" s="15"/>
    </row>
    <row r="211" customFormat="false" ht="15" hidden="false" customHeight="false" outlineLevel="0" collapsed="false">
      <c r="A211" s="15" t="s">
        <v>1261</v>
      </c>
      <c r="B211" s="15" t="s">
        <v>1022</v>
      </c>
      <c r="C211" s="15" t="s">
        <v>1254</v>
      </c>
      <c r="D211" s="15" t="s">
        <v>1065</v>
      </c>
      <c r="E211" s="15" t="s">
        <v>1058</v>
      </c>
      <c r="F211" s="15" t="s">
        <v>1009</v>
      </c>
      <c r="G211" s="15" t="n">
        <v>3</v>
      </c>
      <c r="H211" s="15" t="n">
        <v>1</v>
      </c>
      <c r="I211" s="15" t="n">
        <f aca="false">IF(AND(ISNUMBER(G211),ISNUMBER(H211)),G211*2-H211,"")</f>
        <v>5</v>
      </c>
      <c r="J211" s="15" t="s">
        <v>1019</v>
      </c>
      <c r="K211" s="15" t="s">
        <v>1011</v>
      </c>
      <c r="L211" s="15" t="s">
        <v>1259</v>
      </c>
      <c r="M211" s="15" t="s">
        <v>195</v>
      </c>
      <c r="N211" s="15" t="str">
        <f aca="false">IF(M211="","Not built (workbook: do not build)",IFERROR(INDEX(Pages!$F$2:$F$98,MATCH(M211,Pages!$B$2:$B$98,0)),"Not found"))</f>
        <v>Accredited Investor in Canada: Who Qualifies</v>
      </c>
      <c r="O211" s="15" t="s">
        <v>113</v>
      </c>
      <c r="P211" s="16"/>
      <c r="Q211" s="16"/>
      <c r="R211" s="16"/>
      <c r="S211" s="16"/>
      <c r="T211" s="15"/>
    </row>
    <row r="212" customFormat="false" ht="15" hidden="false" customHeight="false" outlineLevel="0" collapsed="false">
      <c r="A212" s="15" t="s">
        <v>1262</v>
      </c>
      <c r="B212" s="15" t="s">
        <v>1022</v>
      </c>
      <c r="C212" s="15" t="s">
        <v>1254</v>
      </c>
      <c r="D212" s="15" t="s">
        <v>1065</v>
      </c>
      <c r="E212" s="15" t="s">
        <v>1058</v>
      </c>
      <c r="F212" s="15" t="s">
        <v>1009</v>
      </c>
      <c r="G212" s="15" t="n">
        <v>3</v>
      </c>
      <c r="H212" s="15" t="n">
        <v>1</v>
      </c>
      <c r="I212" s="15" t="n">
        <f aca="false">IF(AND(ISNUMBER(G212),ISNUMBER(H212)),G212*2-H212,"")</f>
        <v>5</v>
      </c>
      <c r="J212" s="15" t="s">
        <v>1019</v>
      </c>
      <c r="K212" s="15" t="s">
        <v>1011</v>
      </c>
      <c r="L212" s="15" t="s">
        <v>1119</v>
      </c>
      <c r="M212" s="15" t="s">
        <v>331</v>
      </c>
      <c r="N212" s="15" t="str">
        <f aca="false">IF(M212="","Not built (workbook: do not build)",IFERROR(INDEX(Pages!$F$2:$F$98,MATCH(M212,Pages!$B$2:$B$98,0)),"Not found"))</f>
        <v>Exempt Market Mortgage Investments and OMs | Lendmax Capital MIC</v>
      </c>
      <c r="O212" s="15" t="s">
        <v>113</v>
      </c>
      <c r="P212" s="16"/>
      <c r="Q212" s="16"/>
      <c r="R212" s="16"/>
      <c r="S212" s="16"/>
      <c r="T212" s="15"/>
    </row>
    <row r="213" customFormat="false" ht="15" hidden="false" customHeight="false" outlineLevel="0" collapsed="false">
      <c r="A213" s="15" t="s">
        <v>1263</v>
      </c>
      <c r="B213" s="15" t="s">
        <v>1022</v>
      </c>
      <c r="C213" s="15" t="s">
        <v>1254</v>
      </c>
      <c r="D213" s="15" t="s">
        <v>1065</v>
      </c>
      <c r="E213" s="15" t="s">
        <v>1058</v>
      </c>
      <c r="F213" s="15" t="s">
        <v>1009</v>
      </c>
      <c r="G213" s="15" t="n">
        <v>3</v>
      </c>
      <c r="H213" s="15" t="n">
        <v>1</v>
      </c>
      <c r="I213" s="15" t="n">
        <f aca="false">IF(AND(ISNUMBER(G213),ISNUMBER(H213)),G213*2-H213,"")</f>
        <v>5</v>
      </c>
      <c r="J213" s="15" t="s">
        <v>1019</v>
      </c>
      <c r="K213" s="15" t="s">
        <v>1011</v>
      </c>
      <c r="L213" s="15" t="s">
        <v>1119</v>
      </c>
      <c r="M213" s="15" t="s">
        <v>331</v>
      </c>
      <c r="N213" s="15" t="str">
        <f aca="false">IF(M213="","Not built (workbook: do not build)",IFERROR(INDEX(Pages!$F$2:$F$98,MATCH(M213,Pages!$B$2:$B$98,0)),"Not found"))</f>
        <v>Exempt Market Mortgage Investments and OMs | Lendmax Capital MIC</v>
      </c>
      <c r="O213" s="15" t="s">
        <v>113</v>
      </c>
      <c r="P213" s="16"/>
      <c r="Q213" s="16"/>
      <c r="R213" s="16"/>
      <c r="S213" s="16"/>
      <c r="T213" s="15"/>
    </row>
    <row r="214" customFormat="false" ht="15" hidden="false" customHeight="false" outlineLevel="0" collapsed="false">
      <c r="A214" s="15" t="s">
        <v>1264</v>
      </c>
      <c r="B214" s="15" t="s">
        <v>1054</v>
      </c>
      <c r="C214" s="15" t="s">
        <v>1254</v>
      </c>
      <c r="D214" s="15" t="s">
        <v>1065</v>
      </c>
      <c r="E214" s="15" t="s">
        <v>1058</v>
      </c>
      <c r="F214" s="15" t="s">
        <v>1009</v>
      </c>
      <c r="G214" s="15" t="n">
        <v>5</v>
      </c>
      <c r="H214" s="15" t="n">
        <v>1</v>
      </c>
      <c r="I214" s="15" t="n">
        <f aca="false">IF(AND(ISNUMBER(G214),ISNUMBER(H214)),G214*2-H214,"")</f>
        <v>9</v>
      </c>
      <c r="J214" s="15" t="s">
        <v>1047</v>
      </c>
      <c r="K214" s="15" t="s">
        <v>1011</v>
      </c>
      <c r="L214" s="15" t="s">
        <v>1259</v>
      </c>
      <c r="M214" s="15" t="s">
        <v>195</v>
      </c>
      <c r="N214" s="15" t="str">
        <f aca="false">IF(M214="","Not built (workbook: do not build)",IFERROR(INDEX(Pages!$F$2:$F$98,MATCH(M214,Pages!$B$2:$B$98,0)),"Not found"))</f>
        <v>Accredited Investor in Canada: Who Qualifies</v>
      </c>
      <c r="O214" s="15" t="s">
        <v>113</v>
      </c>
      <c r="P214" s="16"/>
      <c r="Q214" s="16"/>
      <c r="R214" s="16"/>
      <c r="S214" s="16"/>
      <c r="T214" s="15"/>
    </row>
    <row r="215" customFormat="false" ht="15" hidden="false" customHeight="false" outlineLevel="0" collapsed="false">
      <c r="A215" s="15" t="s">
        <v>735</v>
      </c>
      <c r="B215" s="15" t="s">
        <v>1022</v>
      </c>
      <c r="C215" s="15" t="s">
        <v>1254</v>
      </c>
      <c r="D215" s="15" t="s">
        <v>1065</v>
      </c>
      <c r="E215" s="15" t="s">
        <v>1058</v>
      </c>
      <c r="F215" s="15" t="s">
        <v>1109</v>
      </c>
      <c r="G215" s="15" t="n">
        <v>3</v>
      </c>
      <c r="H215" s="15" t="n">
        <v>1</v>
      </c>
      <c r="I215" s="15" t="n">
        <f aca="false">IF(AND(ISNUMBER(G215),ISNUMBER(H215)),G215*2-H215,"")</f>
        <v>5</v>
      </c>
      <c r="J215" s="15" t="s">
        <v>1019</v>
      </c>
      <c r="K215" s="15" t="s">
        <v>1011</v>
      </c>
      <c r="L215" s="15" t="s">
        <v>1265</v>
      </c>
      <c r="M215" s="15" t="s">
        <v>731</v>
      </c>
      <c r="N215" s="15" t="str">
        <f aca="false">IF(M215="","Not built (workbook: do not build)",IFERROR(INDEX(Pages!$F$2:$F$98,MATCH(M215,Pages!$B$2:$B$98,0)),"Not found"))</f>
        <v>FSRA and the Private Mortgage Investor in Ontario</v>
      </c>
      <c r="O215" s="15" t="s">
        <v>113</v>
      </c>
      <c r="P215" s="16"/>
      <c r="Q215" s="16"/>
      <c r="R215" s="16"/>
      <c r="S215" s="16"/>
      <c r="T215" s="15" t="s">
        <v>1248</v>
      </c>
    </row>
    <row r="216" customFormat="false" ht="15" hidden="false" customHeight="false" outlineLevel="0" collapsed="false">
      <c r="A216" s="15" t="s">
        <v>1266</v>
      </c>
      <c r="B216" s="15" t="s">
        <v>1022</v>
      </c>
      <c r="C216" s="15" t="s">
        <v>1254</v>
      </c>
      <c r="D216" s="15" t="s">
        <v>1065</v>
      </c>
      <c r="E216" s="15" t="s">
        <v>1058</v>
      </c>
      <c r="F216" s="15" t="s">
        <v>1109</v>
      </c>
      <c r="G216" s="15" t="n">
        <v>3</v>
      </c>
      <c r="H216" s="15" t="n">
        <v>1</v>
      </c>
      <c r="I216" s="15" t="n">
        <f aca="false">IF(AND(ISNUMBER(G216),ISNUMBER(H216)),G216*2-H216,"")</f>
        <v>5</v>
      </c>
      <c r="J216" s="15" t="s">
        <v>1019</v>
      </c>
      <c r="K216" s="15" t="s">
        <v>1011</v>
      </c>
      <c r="L216" s="15" t="s">
        <v>1265</v>
      </c>
      <c r="M216" s="15" t="s">
        <v>731</v>
      </c>
      <c r="N216" s="15" t="str">
        <f aca="false">IF(M216="","Not built (workbook: do not build)",IFERROR(INDEX(Pages!$F$2:$F$98,MATCH(M216,Pages!$B$2:$B$98,0)),"Not found"))</f>
        <v>FSRA and the Private Mortgage Investor in Ontario</v>
      </c>
      <c r="O216" s="15" t="s">
        <v>113</v>
      </c>
      <c r="P216" s="16"/>
      <c r="Q216" s="16"/>
      <c r="R216" s="16"/>
      <c r="S216" s="16"/>
      <c r="T216" s="15" t="s">
        <v>1248</v>
      </c>
    </row>
    <row r="217" customFormat="false" ht="15" hidden="false" customHeight="false" outlineLevel="0" collapsed="false">
      <c r="A217" s="15" t="s">
        <v>717</v>
      </c>
      <c r="B217" s="15" t="s">
        <v>1022</v>
      </c>
      <c r="C217" s="15" t="s">
        <v>1254</v>
      </c>
      <c r="D217" s="15" t="s">
        <v>1065</v>
      </c>
      <c r="E217" s="15" t="s">
        <v>1058</v>
      </c>
      <c r="F217" s="15" t="s">
        <v>1236</v>
      </c>
      <c r="G217" s="15" t="n">
        <v>4</v>
      </c>
      <c r="H217" s="15" t="n">
        <v>1</v>
      </c>
      <c r="I217" s="15" t="n">
        <f aca="false">IF(AND(ISNUMBER(G217),ISNUMBER(H217)),G217*2-H217,"")</f>
        <v>7</v>
      </c>
      <c r="J217" s="15" t="s">
        <v>1010</v>
      </c>
      <c r="K217" s="15" t="s">
        <v>1011</v>
      </c>
      <c r="L217" s="15" t="s">
        <v>1267</v>
      </c>
      <c r="M217" s="15" t="s">
        <v>713</v>
      </c>
      <c r="N217" s="15" t="str">
        <f aca="false">IF(M217="","Not built (workbook: do not build)",IFERROR(INDEX(Pages!$F$2:$F$98,MATCH(M217,Pages!$B$2:$B$98,0)),"Not found"))</f>
        <v>BC Mortgage Services Act: What Investors Need to Know</v>
      </c>
      <c r="O217" s="15" t="s">
        <v>113</v>
      </c>
      <c r="P217" s="16"/>
      <c r="Q217" s="16"/>
      <c r="R217" s="16"/>
      <c r="S217" s="16"/>
      <c r="T217" s="15" t="s">
        <v>1268</v>
      </c>
    </row>
    <row r="218" customFormat="false" ht="15" hidden="false" customHeight="false" outlineLevel="0" collapsed="false">
      <c r="A218" s="15" t="s">
        <v>761</v>
      </c>
      <c r="B218" s="15" t="s">
        <v>1022</v>
      </c>
      <c r="C218" s="15" t="s">
        <v>1254</v>
      </c>
      <c r="D218" s="15" t="s">
        <v>350</v>
      </c>
      <c r="E218" s="15" t="s">
        <v>1058</v>
      </c>
      <c r="F218" s="15" t="s">
        <v>1009</v>
      </c>
      <c r="G218" s="15" t="n">
        <v>4</v>
      </c>
      <c r="H218" s="15" t="n">
        <v>1</v>
      </c>
      <c r="I218" s="15" t="n">
        <f aca="false">IF(AND(ISNUMBER(G218),ISNUMBER(H218)),G218*2-H218,"")</f>
        <v>7</v>
      </c>
      <c r="J218" s="15" t="s">
        <v>1010</v>
      </c>
      <c r="K218" s="15" t="s">
        <v>1011</v>
      </c>
      <c r="L218" s="15" t="s">
        <v>1255</v>
      </c>
      <c r="M218" s="15" t="s">
        <v>722</v>
      </c>
      <c r="N218" s="15" t="str">
        <f aca="false">IF(M218="","Not built (workbook: do not build)",IFERROR(INDEX(Pages!$F$2:$F$98,MATCH(M218,Pages!$B$2:$B$98,0)),"Not found"))</f>
        <v>Mortgage Investment Regulations in Canada | Lendmax Capital MIC</v>
      </c>
      <c r="O218" s="15" t="s">
        <v>113</v>
      </c>
      <c r="P218" s="16"/>
      <c r="Q218" s="16"/>
      <c r="R218" s="16"/>
      <c r="S218" s="16"/>
      <c r="T218" s="15"/>
    </row>
    <row r="219" customFormat="false" ht="15" hidden="false" customHeight="false" outlineLevel="0" collapsed="false">
      <c r="A219" s="15" t="s">
        <v>1269</v>
      </c>
      <c r="B219" s="15" t="s">
        <v>1022</v>
      </c>
      <c r="C219" s="15" t="s">
        <v>1254</v>
      </c>
      <c r="D219" s="15" t="s">
        <v>1007</v>
      </c>
      <c r="E219" s="15" t="s">
        <v>1058</v>
      </c>
      <c r="F219" s="15" t="s">
        <v>1009</v>
      </c>
      <c r="G219" s="15" t="n">
        <v>2</v>
      </c>
      <c r="H219" s="15" t="n">
        <v>1</v>
      </c>
      <c r="I219" s="15" t="n">
        <f aca="false">IF(AND(ISNUMBER(G219),ISNUMBER(H219)),G219*2-H219,"")</f>
        <v>3</v>
      </c>
      <c r="J219" s="15" t="s">
        <v>1115</v>
      </c>
      <c r="K219" s="15" t="s">
        <v>1020</v>
      </c>
      <c r="L219" s="15" t="s">
        <v>1255</v>
      </c>
      <c r="M219" s="15" t="s">
        <v>757</v>
      </c>
      <c r="N219" s="15" t="str">
        <f aca="false">IF(M219="","Not built (workbook: do not build)",IFERROR(INDEX(Pages!$F$2:$F$98,MATCH(M219,Pages!$B$2:$B$98,0)),"Not found"))</f>
        <v>Mortgage Broker Licensing by Province, Compared</v>
      </c>
      <c r="O219" s="15" t="s">
        <v>113</v>
      </c>
      <c r="P219" s="16"/>
      <c r="Q219" s="16"/>
      <c r="R219" s="16"/>
      <c r="S219" s="16"/>
      <c r="T219" s="15"/>
    </row>
    <row r="220" customFormat="false" ht="15" hidden="false" customHeight="false" outlineLevel="0" collapsed="false">
      <c r="A220" s="15" t="s">
        <v>1270</v>
      </c>
      <c r="B220" s="15" t="s">
        <v>1022</v>
      </c>
      <c r="C220" s="15" t="s">
        <v>1254</v>
      </c>
      <c r="D220" s="15" t="s">
        <v>1065</v>
      </c>
      <c r="E220" s="15" t="s">
        <v>1058</v>
      </c>
      <c r="F220" s="15" t="s">
        <v>1009</v>
      </c>
      <c r="G220" s="15" t="n">
        <v>3</v>
      </c>
      <c r="H220" s="15" t="n">
        <v>1</v>
      </c>
      <c r="I220" s="15" t="n">
        <f aca="false">IF(AND(ISNUMBER(G220),ISNUMBER(H220)),G220*2-H220,"")</f>
        <v>5</v>
      </c>
      <c r="J220" s="15" t="s">
        <v>1019</v>
      </c>
      <c r="K220" s="15" t="s">
        <v>1011</v>
      </c>
      <c r="L220" s="15" t="s">
        <v>1259</v>
      </c>
      <c r="M220" s="15" t="s">
        <v>195</v>
      </c>
      <c r="N220" s="15" t="str">
        <f aca="false">IF(M220="","Not built (workbook: do not build)",IFERROR(INDEX(Pages!$F$2:$F$98,MATCH(M220,Pages!$B$2:$B$98,0)),"Not found"))</f>
        <v>Accredited Investor in Canada: Who Qualifies</v>
      </c>
      <c r="O220" s="15" t="s">
        <v>113</v>
      </c>
      <c r="P220" s="16"/>
      <c r="Q220" s="16"/>
      <c r="R220" s="16"/>
      <c r="S220" s="16"/>
      <c r="T220" s="15"/>
    </row>
    <row r="221" customFormat="false" ht="15" hidden="false" customHeight="false" outlineLevel="0" collapsed="false">
      <c r="A221" s="15" t="s">
        <v>1271</v>
      </c>
      <c r="B221" s="15" t="s">
        <v>1015</v>
      </c>
      <c r="C221" s="15" t="s">
        <v>1272</v>
      </c>
      <c r="D221" s="15" t="s">
        <v>350</v>
      </c>
      <c r="E221" s="15" t="s">
        <v>1058</v>
      </c>
      <c r="F221" s="15" t="s">
        <v>1009</v>
      </c>
      <c r="G221" s="15" t="n">
        <v>5</v>
      </c>
      <c r="H221" s="15" t="n">
        <v>5</v>
      </c>
      <c r="I221" s="15" t="n">
        <f aca="false">IF(AND(ISNUMBER(G221),ISNUMBER(H221)),G221*2-H221,"")</f>
        <v>5</v>
      </c>
      <c r="J221" s="15" t="s">
        <v>1019</v>
      </c>
      <c r="K221" s="15" t="s">
        <v>1011</v>
      </c>
      <c r="L221" s="15" t="s">
        <v>1273</v>
      </c>
      <c r="M221" s="15" t="s">
        <v>513</v>
      </c>
      <c r="N221" s="15" t="str">
        <f aca="false">IF(M221="","Not built (workbook: do not build)",IFERROR(INDEX(Pages!$F$2:$F$98,MATCH(M221,Pages!$B$2:$B$98,0)),"Not found"))</f>
        <v>MIC vs REIT in Canada: Debt Income or Equity</v>
      </c>
      <c r="O221" s="15" t="s">
        <v>113</v>
      </c>
      <c r="P221" s="16"/>
      <c r="Q221" s="16"/>
      <c r="R221" s="16"/>
      <c r="S221" s="16"/>
      <c r="T221" s="15"/>
    </row>
    <row r="222" customFormat="false" ht="15" hidden="false" customHeight="false" outlineLevel="0" collapsed="false">
      <c r="A222" s="15" t="s">
        <v>517</v>
      </c>
      <c r="B222" s="15" t="s">
        <v>1022</v>
      </c>
      <c r="C222" s="15" t="s">
        <v>1272</v>
      </c>
      <c r="D222" s="15" t="s">
        <v>350</v>
      </c>
      <c r="E222" s="15" t="s">
        <v>1058</v>
      </c>
      <c r="F222" s="15" t="s">
        <v>1009</v>
      </c>
      <c r="G222" s="15" t="n">
        <v>5</v>
      </c>
      <c r="H222" s="15" t="n">
        <v>5</v>
      </c>
      <c r="I222" s="15" t="n">
        <f aca="false">IF(AND(ISNUMBER(G222),ISNUMBER(H222)),G222*2-H222,"")</f>
        <v>5</v>
      </c>
      <c r="J222" s="15" t="s">
        <v>1019</v>
      </c>
      <c r="K222" s="15" t="s">
        <v>1011</v>
      </c>
      <c r="L222" s="15" t="s">
        <v>1273</v>
      </c>
      <c r="M222" s="15" t="s">
        <v>513</v>
      </c>
      <c r="N222" s="15" t="str">
        <f aca="false">IF(M222="","Not built (workbook: do not build)",IFERROR(INDEX(Pages!$F$2:$F$98,MATCH(M222,Pages!$B$2:$B$98,0)),"Not found"))</f>
        <v>MIC vs REIT in Canada: Debt Income or Equity</v>
      </c>
      <c r="O222" s="15" t="s">
        <v>113</v>
      </c>
      <c r="P222" s="16"/>
      <c r="Q222" s="16"/>
      <c r="R222" s="16"/>
      <c r="S222" s="16"/>
      <c r="T222" s="15"/>
    </row>
    <row r="223" customFormat="false" ht="15" hidden="false" customHeight="false" outlineLevel="0" collapsed="false">
      <c r="A223" s="15" t="s">
        <v>666</v>
      </c>
      <c r="B223" s="15" t="s">
        <v>1015</v>
      </c>
      <c r="C223" s="15" t="s">
        <v>1272</v>
      </c>
      <c r="D223" s="15" t="s">
        <v>350</v>
      </c>
      <c r="E223" s="15" t="s">
        <v>1058</v>
      </c>
      <c r="F223" s="15" t="s">
        <v>1009</v>
      </c>
      <c r="G223" s="15" t="n">
        <v>5</v>
      </c>
      <c r="H223" s="15" t="n">
        <v>4</v>
      </c>
      <c r="I223" s="15" t="n">
        <f aca="false">IF(AND(ISNUMBER(G223),ISNUMBER(H223)),G223*2-H223,"")</f>
        <v>6</v>
      </c>
      <c r="J223" s="15" t="s">
        <v>1010</v>
      </c>
      <c r="K223" s="15" t="s">
        <v>1011</v>
      </c>
      <c r="L223" s="15" t="s">
        <v>1274</v>
      </c>
      <c r="M223" s="15" t="s">
        <v>662</v>
      </c>
      <c r="N223" s="15" t="str">
        <f aca="false">IF(M223="","Not built (workbook: do not build)",IFERROR(INDEX(Pages!$F$2:$F$98,MATCH(M223,Pages!$B$2:$B$98,0)),"Not found"))</f>
        <v>Mortgage Investing vs GICs: Yield and Insurance</v>
      </c>
      <c r="O223" s="15" t="s">
        <v>113</v>
      </c>
      <c r="P223" s="16"/>
      <c r="Q223" s="16"/>
      <c r="R223" s="16"/>
      <c r="S223" s="16"/>
      <c r="T223" s="15"/>
    </row>
    <row r="224" customFormat="false" ht="15" hidden="false" customHeight="false" outlineLevel="0" collapsed="false">
      <c r="A224" s="15" t="s">
        <v>1275</v>
      </c>
      <c r="B224" s="15" t="s">
        <v>1022</v>
      </c>
      <c r="C224" s="15" t="s">
        <v>1272</v>
      </c>
      <c r="D224" s="15" t="s">
        <v>350</v>
      </c>
      <c r="E224" s="15" t="s">
        <v>1058</v>
      </c>
      <c r="F224" s="15" t="s">
        <v>1009</v>
      </c>
      <c r="G224" s="15" t="n">
        <v>5</v>
      </c>
      <c r="H224" s="15" t="n">
        <v>4</v>
      </c>
      <c r="I224" s="15" t="n">
        <f aca="false">IF(AND(ISNUMBER(G224),ISNUMBER(H224)),G224*2-H224,"")</f>
        <v>6</v>
      </c>
      <c r="J224" s="15" t="s">
        <v>1010</v>
      </c>
      <c r="K224" s="15" t="s">
        <v>1011</v>
      </c>
      <c r="L224" s="15" t="s">
        <v>1274</v>
      </c>
      <c r="M224" s="15" t="s">
        <v>662</v>
      </c>
      <c r="N224" s="15" t="str">
        <f aca="false">IF(M224="","Not built (workbook: do not build)",IFERROR(INDEX(Pages!$F$2:$F$98,MATCH(M224,Pages!$B$2:$B$98,0)),"Not found"))</f>
        <v>Mortgage Investing vs GICs: Yield and Insurance</v>
      </c>
      <c r="O224" s="15" t="s">
        <v>113</v>
      </c>
      <c r="P224" s="16"/>
      <c r="Q224" s="16"/>
      <c r="R224" s="16"/>
      <c r="S224" s="16"/>
      <c r="T224" s="15"/>
    </row>
    <row r="225" customFormat="false" ht="15" hidden="false" customHeight="false" outlineLevel="0" collapsed="false">
      <c r="A225" s="15" t="s">
        <v>649</v>
      </c>
      <c r="B225" s="15" t="s">
        <v>1015</v>
      </c>
      <c r="C225" s="15" t="s">
        <v>1272</v>
      </c>
      <c r="D225" s="15" t="s">
        <v>350</v>
      </c>
      <c r="E225" s="15" t="s">
        <v>1058</v>
      </c>
      <c r="F225" s="15" t="s">
        <v>1009</v>
      </c>
      <c r="G225" s="15" t="n">
        <v>5</v>
      </c>
      <c r="H225" s="15" t="n">
        <v>1</v>
      </c>
      <c r="I225" s="15" t="n">
        <f aca="false">IF(AND(ISNUMBER(G225),ISNUMBER(H225)),G225*2-H225,"")</f>
        <v>9</v>
      </c>
      <c r="J225" s="15" t="s">
        <v>1047</v>
      </c>
      <c r="K225" s="15" t="s">
        <v>1011</v>
      </c>
      <c r="L225" s="15" t="s">
        <v>1276</v>
      </c>
      <c r="M225" s="15" t="s">
        <v>646</v>
      </c>
      <c r="N225" s="15" t="str">
        <f aca="false">IF(M225="","Not built (workbook: do not build)",IFERROR(INDEX(Pages!$F$2:$F$98,MATCH(M225,Pages!$B$2:$B$98,0)),"Not found"))</f>
        <v>Mortgage Investing vs Bonds: Two Kinds of Fixed Income</v>
      </c>
      <c r="O225" s="15" t="s">
        <v>113</v>
      </c>
      <c r="P225" s="16"/>
      <c r="Q225" s="16"/>
      <c r="R225" s="16"/>
      <c r="S225" s="16"/>
      <c r="T225" s="15"/>
    </row>
    <row r="226" customFormat="false" ht="15" hidden="false" customHeight="false" outlineLevel="0" collapsed="false">
      <c r="A226" s="15" t="s">
        <v>657</v>
      </c>
      <c r="B226" s="15" t="s">
        <v>1015</v>
      </c>
      <c r="C226" s="15" t="s">
        <v>1272</v>
      </c>
      <c r="D226" s="15" t="s">
        <v>350</v>
      </c>
      <c r="E226" s="15" t="s">
        <v>1058</v>
      </c>
      <c r="F226" s="15" t="s">
        <v>1009</v>
      </c>
      <c r="G226" s="15" t="n">
        <v>5</v>
      </c>
      <c r="H226" s="15" t="n">
        <v>1</v>
      </c>
      <c r="I226" s="15" t="n">
        <f aca="false">IF(AND(ISNUMBER(G226),ISNUMBER(H226)),G226*2-H226,"")</f>
        <v>9</v>
      </c>
      <c r="J226" s="15" t="s">
        <v>1047</v>
      </c>
      <c r="K226" s="15" t="s">
        <v>1011</v>
      </c>
      <c r="L226" s="15" t="s">
        <v>1277</v>
      </c>
      <c r="M226" s="15" t="s">
        <v>513</v>
      </c>
      <c r="N226" s="15" t="str">
        <f aca="false">IF(M226="","Not built (workbook: do not build)",IFERROR(INDEX(Pages!$F$2:$F$98,MATCH(M226,Pages!$B$2:$B$98,0)),"Not found"))</f>
        <v>MIC vs REIT in Canada: Debt Income or Equity</v>
      </c>
      <c r="O226" s="15" t="s">
        <v>113</v>
      </c>
      <c r="P226" s="16"/>
      <c r="Q226" s="16"/>
      <c r="R226" s="16"/>
      <c r="S226" s="16"/>
      <c r="T226" s="15"/>
    </row>
    <row r="227" customFormat="false" ht="15" hidden="false" customHeight="false" outlineLevel="0" collapsed="false">
      <c r="A227" s="15" t="s">
        <v>1278</v>
      </c>
      <c r="B227" s="15" t="s">
        <v>1022</v>
      </c>
      <c r="C227" s="15" t="s">
        <v>1272</v>
      </c>
      <c r="D227" s="15" t="s">
        <v>350</v>
      </c>
      <c r="E227" s="15" t="s">
        <v>1058</v>
      </c>
      <c r="F227" s="15" t="s">
        <v>1009</v>
      </c>
      <c r="G227" s="15" t="n">
        <v>4</v>
      </c>
      <c r="H227" s="15" t="n">
        <v>2</v>
      </c>
      <c r="I227" s="15" t="n">
        <f aca="false">IF(AND(ISNUMBER(G227),ISNUMBER(H227)),G227*2-H227,"")</f>
        <v>6</v>
      </c>
      <c r="J227" s="15" t="s">
        <v>1010</v>
      </c>
      <c r="K227" s="15" t="s">
        <v>1011</v>
      </c>
      <c r="L227" s="15" t="s">
        <v>1061</v>
      </c>
      <c r="M227" s="15" t="s">
        <v>495</v>
      </c>
      <c r="N227" s="15" t="str">
        <f aca="false">IF(M227="","Not built (workbook: do not build)",IFERROR(INDEX(Pages!$F$2:$F$98,MATCH(M227,Pages!$B$2:$B$98,0)),"Not found"))</f>
        <v>MIC vs Direct Mortgage Investing: Pooled or Your Own</v>
      </c>
      <c r="O227" s="15" t="s">
        <v>113</v>
      </c>
      <c r="P227" s="16"/>
      <c r="Q227" s="16"/>
      <c r="R227" s="16"/>
      <c r="S227" s="16"/>
      <c r="T227" s="15"/>
    </row>
    <row r="228" customFormat="false" ht="15" hidden="false" customHeight="false" outlineLevel="0" collapsed="false">
      <c r="A228" s="15" t="s">
        <v>499</v>
      </c>
      <c r="B228" s="15" t="s">
        <v>1022</v>
      </c>
      <c r="C228" s="15" t="s">
        <v>1272</v>
      </c>
      <c r="D228" s="15" t="s">
        <v>350</v>
      </c>
      <c r="E228" s="15" t="s">
        <v>1058</v>
      </c>
      <c r="F228" s="15" t="s">
        <v>1009</v>
      </c>
      <c r="G228" s="15" t="n">
        <v>5</v>
      </c>
      <c r="H228" s="15" t="n">
        <v>2</v>
      </c>
      <c r="I228" s="15" t="n">
        <f aca="false">IF(AND(ISNUMBER(G228),ISNUMBER(H228)),G228*2-H228,"")</f>
        <v>8</v>
      </c>
      <c r="J228" s="15" t="s">
        <v>1047</v>
      </c>
      <c r="K228" s="15" t="s">
        <v>1011</v>
      </c>
      <c r="L228" s="15" t="s">
        <v>1061</v>
      </c>
      <c r="M228" s="15" t="s">
        <v>495</v>
      </c>
      <c r="N228" s="15" t="str">
        <f aca="false">IF(M228="","Not built (workbook: do not build)",IFERROR(INDEX(Pages!$F$2:$F$98,MATCH(M228,Pages!$B$2:$B$98,0)),"Not found"))</f>
        <v>MIC vs Direct Mortgage Investing: Pooled or Your Own</v>
      </c>
      <c r="O228" s="15" t="s">
        <v>113</v>
      </c>
      <c r="P228" s="16"/>
      <c r="Q228" s="16"/>
      <c r="R228" s="16"/>
      <c r="S228" s="16"/>
      <c r="T228" s="15"/>
    </row>
    <row r="229" customFormat="false" ht="15" hidden="false" customHeight="false" outlineLevel="0" collapsed="false">
      <c r="A229" s="15" t="s">
        <v>674</v>
      </c>
      <c r="B229" s="15" t="s">
        <v>1015</v>
      </c>
      <c r="C229" s="15" t="s">
        <v>1272</v>
      </c>
      <c r="D229" s="15" t="s">
        <v>350</v>
      </c>
      <c r="E229" s="15" t="s">
        <v>1023</v>
      </c>
      <c r="F229" s="15" t="s">
        <v>1009</v>
      </c>
      <c r="G229" s="15" t="n">
        <v>5</v>
      </c>
      <c r="H229" s="15" t="n">
        <v>2</v>
      </c>
      <c r="I229" s="15" t="n">
        <f aca="false">IF(AND(ISNUMBER(G229),ISNUMBER(H229)),G229*2-H229,"")</f>
        <v>8</v>
      </c>
      <c r="J229" s="15" t="s">
        <v>1047</v>
      </c>
      <c r="K229" s="15" t="s">
        <v>1011</v>
      </c>
      <c r="L229" s="15" t="s">
        <v>1279</v>
      </c>
      <c r="M229" s="15" t="s">
        <v>671</v>
      </c>
      <c r="N229" s="15" t="str">
        <f aca="false">IF(M229="","Not built (workbook: do not build)",IFERROR(INDEX(Pages!$F$2:$F$98,MATCH(M229,Pages!$B$2:$B$98,0)),"Not found"))</f>
        <v>Mortgage Investing vs Owning a Rental Property</v>
      </c>
      <c r="O229" s="15" t="s">
        <v>113</v>
      </c>
      <c r="P229" s="16"/>
      <c r="Q229" s="16"/>
      <c r="R229" s="16"/>
      <c r="S229" s="16"/>
      <c r="T229" s="15"/>
    </row>
    <row r="230" customFormat="false" ht="15" hidden="false" customHeight="false" outlineLevel="0" collapsed="false">
      <c r="A230" s="15" t="s">
        <v>1280</v>
      </c>
      <c r="B230" s="15" t="s">
        <v>1022</v>
      </c>
      <c r="C230" s="15" t="s">
        <v>1272</v>
      </c>
      <c r="D230" s="15" t="s">
        <v>350</v>
      </c>
      <c r="E230" s="15" t="s">
        <v>1023</v>
      </c>
      <c r="F230" s="15" t="s">
        <v>1009</v>
      </c>
      <c r="G230" s="15" t="n">
        <v>4</v>
      </c>
      <c r="H230" s="15" t="n">
        <v>1</v>
      </c>
      <c r="I230" s="15" t="n">
        <f aca="false">IF(AND(ISNUMBER(G230),ISNUMBER(H230)),G230*2-H230,"")</f>
        <v>7</v>
      </c>
      <c r="J230" s="15" t="s">
        <v>1010</v>
      </c>
      <c r="K230" s="15" t="s">
        <v>1011</v>
      </c>
      <c r="L230" s="15" t="s">
        <v>1279</v>
      </c>
      <c r="M230" s="15" t="s">
        <v>671</v>
      </c>
      <c r="N230" s="15" t="str">
        <f aca="false">IF(M230="","Not built (workbook: do not build)",IFERROR(INDEX(Pages!$F$2:$F$98,MATCH(M230,Pages!$B$2:$B$98,0)),"Not found"))</f>
        <v>Mortgage Investing vs Owning a Rental Property</v>
      </c>
      <c r="O230" s="15" t="s">
        <v>113</v>
      </c>
      <c r="P230" s="16"/>
      <c r="Q230" s="16"/>
      <c r="R230" s="16"/>
      <c r="S230" s="16"/>
      <c r="T230" s="15"/>
    </row>
    <row r="231" customFormat="false" ht="15" hidden="false" customHeight="false" outlineLevel="0" collapsed="false">
      <c r="A231" s="15" t="s">
        <v>1281</v>
      </c>
      <c r="B231" s="15" t="s">
        <v>1022</v>
      </c>
      <c r="C231" s="15" t="s">
        <v>1272</v>
      </c>
      <c r="D231" s="15" t="s">
        <v>350</v>
      </c>
      <c r="E231" s="15" t="s">
        <v>1023</v>
      </c>
      <c r="F231" s="15" t="s">
        <v>1009</v>
      </c>
      <c r="G231" s="15" t="n">
        <v>4</v>
      </c>
      <c r="H231" s="15" t="n">
        <v>2</v>
      </c>
      <c r="I231" s="15" t="n">
        <f aca="false">IF(AND(ISNUMBER(G231),ISNUMBER(H231)),G231*2-H231,"")</f>
        <v>6</v>
      </c>
      <c r="J231" s="15" t="s">
        <v>1010</v>
      </c>
      <c r="K231" s="15" t="s">
        <v>1011</v>
      </c>
      <c r="L231" s="15" t="s">
        <v>1274</v>
      </c>
      <c r="M231" s="15" t="s">
        <v>662</v>
      </c>
      <c r="N231" s="15" t="str">
        <f aca="false">IF(M231="","Not built (workbook: do not build)",IFERROR(INDEX(Pages!$F$2:$F$98,MATCH(M231,Pages!$B$2:$B$98,0)),"Not found"))</f>
        <v>Mortgage Investing vs GICs: Yield and Insurance</v>
      </c>
      <c r="O231" s="15" t="s">
        <v>113</v>
      </c>
      <c r="P231" s="16"/>
      <c r="Q231" s="16"/>
      <c r="R231" s="16"/>
      <c r="S231" s="16"/>
      <c r="T231" s="15"/>
    </row>
    <row r="232" customFormat="false" ht="15" hidden="false" customHeight="false" outlineLevel="0" collapsed="false">
      <c r="A232" s="15" t="s">
        <v>1282</v>
      </c>
      <c r="B232" s="15" t="s">
        <v>1022</v>
      </c>
      <c r="C232" s="15" t="s">
        <v>1272</v>
      </c>
      <c r="D232" s="15" t="s">
        <v>350</v>
      </c>
      <c r="E232" s="15" t="s">
        <v>1058</v>
      </c>
      <c r="F232" s="15" t="s">
        <v>1009</v>
      </c>
      <c r="G232" s="15" t="n">
        <v>3</v>
      </c>
      <c r="H232" s="15" t="n">
        <v>1</v>
      </c>
      <c r="I232" s="15" t="n">
        <f aca="false">IF(AND(ISNUMBER(G232),ISNUMBER(H232)),G232*2-H232,"")</f>
        <v>5</v>
      </c>
      <c r="J232" s="15" t="s">
        <v>1019</v>
      </c>
      <c r="K232" s="15" t="s">
        <v>1020</v>
      </c>
      <c r="L232" s="15" t="s">
        <v>1106</v>
      </c>
      <c r="M232" s="15" t="s">
        <v>766</v>
      </c>
      <c r="N232" s="15" t="str">
        <f aca="false">IF(M232="","Not built (workbook: do not build)",IFERROR(INDEX(Pages!$F$2:$F$98,MATCH(M232,Pages!$B$2:$B$98,0)),"Not found"))</f>
        <v>Mortgage Investment Structures in Canada Compared</v>
      </c>
      <c r="O232" s="15" t="s">
        <v>113</v>
      </c>
      <c r="P232" s="16"/>
      <c r="Q232" s="16"/>
      <c r="R232" s="16"/>
      <c r="S232" s="16"/>
      <c r="T232" s="15"/>
    </row>
    <row r="233" customFormat="false" ht="15" hidden="false" customHeight="false" outlineLevel="0" collapsed="false">
      <c r="A233" s="15" t="s">
        <v>1283</v>
      </c>
      <c r="B233" s="15" t="s">
        <v>1022</v>
      </c>
      <c r="C233" s="15" t="s">
        <v>1272</v>
      </c>
      <c r="D233" s="15" t="s">
        <v>350</v>
      </c>
      <c r="E233" s="15" t="s">
        <v>1058</v>
      </c>
      <c r="F233" s="15" t="s">
        <v>1009</v>
      </c>
      <c r="G233" s="15" t="n">
        <v>4</v>
      </c>
      <c r="H233" s="15" t="n">
        <v>1</v>
      </c>
      <c r="I233" s="15" t="n">
        <f aca="false">IF(AND(ISNUMBER(G233),ISNUMBER(H233)),G233*2-H233,"")</f>
        <v>7</v>
      </c>
      <c r="J233" s="15" t="s">
        <v>1010</v>
      </c>
      <c r="K233" s="15" t="s">
        <v>1011</v>
      </c>
      <c r="L233" s="15" t="s">
        <v>1276</v>
      </c>
      <c r="M233" s="15" t="s">
        <v>646</v>
      </c>
      <c r="N233" s="15" t="str">
        <f aca="false">IF(M233="","Not built (workbook: do not build)",IFERROR(INDEX(Pages!$F$2:$F$98,MATCH(M233,Pages!$B$2:$B$98,0)),"Not found"))</f>
        <v>Mortgage Investing vs Bonds: Two Kinds of Fixed Income</v>
      </c>
      <c r="O233" s="15" t="s">
        <v>113</v>
      </c>
      <c r="P233" s="16"/>
      <c r="Q233" s="16"/>
      <c r="R233" s="16"/>
      <c r="S233" s="16"/>
      <c r="T233" s="15"/>
    </row>
    <row r="234" customFormat="false" ht="15" hidden="false" customHeight="false" outlineLevel="0" collapsed="false">
      <c r="A234" s="15" t="s">
        <v>363</v>
      </c>
      <c r="B234" s="15" t="s">
        <v>1022</v>
      </c>
      <c r="C234" s="15" t="s">
        <v>1272</v>
      </c>
      <c r="D234" s="15" t="s">
        <v>350</v>
      </c>
      <c r="E234" s="15" t="s">
        <v>1058</v>
      </c>
      <c r="F234" s="15" t="s">
        <v>1009</v>
      </c>
      <c r="G234" s="15" t="n">
        <v>3</v>
      </c>
      <c r="H234" s="15" t="n">
        <v>1</v>
      </c>
      <c r="I234" s="15" t="n">
        <f aca="false">IF(AND(ISNUMBER(G234),ISNUMBER(H234)),G234*2-H234,"")</f>
        <v>5</v>
      </c>
      <c r="J234" s="15" t="s">
        <v>1019</v>
      </c>
      <c r="K234" s="15" t="s">
        <v>1020</v>
      </c>
      <c r="L234" s="15" t="s">
        <v>1059</v>
      </c>
      <c r="M234" s="15" t="s">
        <v>359</v>
      </c>
      <c r="N234" s="15" t="str">
        <f aca="false">IF(M234="","Not built (workbook: do not build)",IFERROR(INDEX(Pages!$F$2:$F$98,MATCH(M234,Pages!$B$2:$B$98,0)),"Not found"))</f>
        <v>Fixed Rate vs Variable Rate Mortgage Investments</v>
      </c>
      <c r="O234" s="15" t="s">
        <v>113</v>
      </c>
      <c r="P234" s="16"/>
      <c r="Q234" s="16"/>
      <c r="R234" s="16"/>
      <c r="S234" s="16"/>
      <c r="T234" s="15"/>
    </row>
    <row r="235" customFormat="false" ht="15" hidden="false" customHeight="false" outlineLevel="0" collapsed="false">
      <c r="A235" s="15" t="s">
        <v>212</v>
      </c>
      <c r="B235" s="15" t="s">
        <v>1015</v>
      </c>
      <c r="C235" s="15" t="s">
        <v>1272</v>
      </c>
      <c r="D235" s="15" t="s">
        <v>350</v>
      </c>
      <c r="E235" s="15" t="s">
        <v>1023</v>
      </c>
      <c r="F235" s="15" t="s">
        <v>1009</v>
      </c>
      <c r="G235" s="15" t="n">
        <v>5</v>
      </c>
      <c r="H235" s="15" t="n">
        <v>2</v>
      </c>
      <c r="I235" s="15" t="n">
        <f aca="false">IF(AND(ISNUMBER(G235),ISNUMBER(H235)),G235*2-H235,"")</f>
        <v>8</v>
      </c>
      <c r="J235" s="15" t="s">
        <v>1047</v>
      </c>
      <c r="K235" s="15" t="s">
        <v>1011</v>
      </c>
      <c r="L235" s="15" t="s">
        <v>1284</v>
      </c>
      <c r="M235" s="15" t="s">
        <v>646</v>
      </c>
      <c r="N235" s="15" t="str">
        <f aca="false">IF(M235="","Not built (workbook: do not build)",IFERROR(INDEX(Pages!$F$2:$F$98,MATCH(M235,Pages!$B$2:$B$98,0)),"Not found"))</f>
        <v>Mortgage Investing vs Bonds: Two Kinds of Fixed Income</v>
      </c>
      <c r="O235" s="15" t="s">
        <v>113</v>
      </c>
      <c r="P235" s="16"/>
      <c r="Q235" s="16"/>
      <c r="R235" s="16"/>
      <c r="S235" s="16"/>
      <c r="T235" s="15"/>
    </row>
    <row r="236" customFormat="false" ht="15" hidden="false" customHeight="false" outlineLevel="0" collapsed="false">
      <c r="A236" s="15" t="s">
        <v>1285</v>
      </c>
      <c r="B236" s="15" t="s">
        <v>1005</v>
      </c>
      <c r="C236" s="15" t="s">
        <v>1272</v>
      </c>
      <c r="D236" s="15" t="s">
        <v>1057</v>
      </c>
      <c r="E236" s="15" t="s">
        <v>1023</v>
      </c>
      <c r="F236" s="15" t="s">
        <v>1009</v>
      </c>
      <c r="G236" s="15" t="n">
        <v>4</v>
      </c>
      <c r="H236" s="15" t="n">
        <v>4</v>
      </c>
      <c r="I236" s="15" t="n">
        <f aca="false">IF(AND(ISNUMBER(G236),ISNUMBER(H236)),G236*2-H236,"")</f>
        <v>4</v>
      </c>
      <c r="J236" s="15" t="s">
        <v>1019</v>
      </c>
      <c r="K236" s="15" t="s">
        <v>1020</v>
      </c>
      <c r="L236" s="15" t="s">
        <v>1284</v>
      </c>
      <c r="M236" s="15" t="s">
        <v>206</v>
      </c>
      <c r="N236" s="15" t="str">
        <f aca="false">IF(M236="","Not built (workbook: do not build)",IFERROR(INDEX(Pages!$F$2:$F$98,MATCH(M236,Pages!$B$2:$B$98,0)),"Not found"))</f>
        <v>Alternative Fixed Income Investments in Canada</v>
      </c>
      <c r="O236" s="15" t="s">
        <v>113</v>
      </c>
      <c r="P236" s="16"/>
      <c r="Q236" s="16"/>
      <c r="R236" s="16"/>
      <c r="S236" s="16"/>
      <c r="T236" s="15"/>
    </row>
    <row r="237" customFormat="false" ht="15" hidden="false" customHeight="false" outlineLevel="0" collapsed="false">
      <c r="A237" s="15" t="s">
        <v>1286</v>
      </c>
      <c r="B237" s="15" t="s">
        <v>1015</v>
      </c>
      <c r="C237" s="15" t="s">
        <v>1272</v>
      </c>
      <c r="D237" s="15" t="s">
        <v>1057</v>
      </c>
      <c r="E237" s="15" t="s">
        <v>1023</v>
      </c>
      <c r="F237" s="15" t="s">
        <v>1009</v>
      </c>
      <c r="G237" s="15" t="n">
        <v>4</v>
      </c>
      <c r="H237" s="15" t="n">
        <v>3</v>
      </c>
      <c r="I237" s="15" t="n">
        <f aca="false">IF(AND(ISNUMBER(G237),ISNUMBER(H237)),G237*2-H237,"")</f>
        <v>5</v>
      </c>
      <c r="J237" s="15" t="s">
        <v>1019</v>
      </c>
      <c r="K237" s="15" t="s">
        <v>1011</v>
      </c>
      <c r="L237" s="15" t="s">
        <v>1284</v>
      </c>
      <c r="M237" s="15" t="s">
        <v>654</v>
      </c>
      <c r="N237" s="15" t="str">
        <f aca="false">IF(M237="","Not built (workbook: do not build)",IFERROR(INDEX(Pages!$F$2:$F$98,MATCH(M237,Pages!$B$2:$B$98,0)),"Not found"))</f>
        <v>Mortgage Investing vs Dividend Stocks for Income</v>
      </c>
      <c r="O237" s="15" t="s">
        <v>113</v>
      </c>
      <c r="P237" s="16"/>
      <c r="Q237" s="16"/>
      <c r="R237" s="16"/>
      <c r="S237" s="16"/>
      <c r="T237" s="15"/>
    </row>
    <row r="238" customFormat="false" ht="15" hidden="false" customHeight="false" outlineLevel="0" collapsed="false">
      <c r="A238" s="15" t="s">
        <v>1287</v>
      </c>
      <c r="B238" s="15" t="s">
        <v>1054</v>
      </c>
      <c r="C238" s="15" t="s">
        <v>1272</v>
      </c>
      <c r="D238" s="15" t="s">
        <v>350</v>
      </c>
      <c r="E238" s="15" t="s">
        <v>1023</v>
      </c>
      <c r="F238" s="15" t="s">
        <v>1009</v>
      </c>
      <c r="G238" s="15" t="n">
        <v>4</v>
      </c>
      <c r="H238" s="15" t="n">
        <v>3</v>
      </c>
      <c r="I238" s="15" t="n">
        <f aca="false">IF(AND(ISNUMBER(G238),ISNUMBER(H238)),G238*2-H238,"")</f>
        <v>5</v>
      </c>
      <c r="J238" s="15" t="s">
        <v>1019</v>
      </c>
      <c r="K238" s="15" t="s">
        <v>1011</v>
      </c>
      <c r="L238" s="15" t="s">
        <v>1274</v>
      </c>
      <c r="M238" s="15" t="s">
        <v>662</v>
      </c>
      <c r="N238" s="15" t="str">
        <f aca="false">IF(M238="","Not built (workbook: do not build)",IFERROR(INDEX(Pages!$F$2:$F$98,MATCH(M238,Pages!$B$2:$B$98,0)),"Not found"))</f>
        <v>Mortgage Investing vs GICs: Yield and Insurance</v>
      </c>
      <c r="O238" s="15" t="s">
        <v>113</v>
      </c>
      <c r="P238" s="16"/>
      <c r="Q238" s="16"/>
      <c r="R238" s="16"/>
      <c r="S238" s="16"/>
      <c r="T238" s="15"/>
    </row>
    <row r="239" customFormat="false" ht="23.85" hidden="false" customHeight="false" outlineLevel="0" collapsed="false">
      <c r="A239" s="15" t="s">
        <v>131</v>
      </c>
      <c r="B239" s="15" t="s">
        <v>1054</v>
      </c>
      <c r="C239" s="15" t="s">
        <v>1288</v>
      </c>
      <c r="D239" s="15" t="s">
        <v>1051</v>
      </c>
      <c r="E239" s="15" t="s">
        <v>1023</v>
      </c>
      <c r="F239" s="15" t="s">
        <v>1009</v>
      </c>
      <c r="G239" s="15" t="n">
        <v>5</v>
      </c>
      <c r="H239" s="15" t="n">
        <v>2</v>
      </c>
      <c r="I239" s="15" t="n">
        <f aca="false">IF(AND(ISNUMBER(G239),ISNUMBER(H239)),G239*2-H239,"")</f>
        <v>8</v>
      </c>
      <c r="J239" s="15" t="s">
        <v>1047</v>
      </c>
      <c r="K239" s="15" t="s">
        <v>1011</v>
      </c>
      <c r="L239" s="15" t="s">
        <v>1228</v>
      </c>
      <c r="M239" s="15" t="s">
        <v>125</v>
      </c>
      <c r="N239" s="15" t="str">
        <f aca="false">IF(M239="","Not built (workbook: do not build)",IFERROR(INDEX(Pages!$F$2:$F$98,MATCH(M239,Pages!$B$2:$B$98,0)),"Not found"))</f>
        <v>How to Start Investing in Mortgages: Step by Step</v>
      </c>
      <c r="O239" s="15" t="s">
        <v>113</v>
      </c>
      <c r="P239" s="16"/>
      <c r="Q239" s="16"/>
      <c r="R239" s="16"/>
      <c r="S239" s="16"/>
      <c r="T239" s="15"/>
    </row>
    <row r="240" customFormat="false" ht="15" hidden="false" customHeight="false" outlineLevel="0" collapsed="false">
      <c r="A240" s="15" t="s">
        <v>1289</v>
      </c>
      <c r="B240" s="15" t="s">
        <v>1022</v>
      </c>
      <c r="C240" s="15" t="s">
        <v>1288</v>
      </c>
      <c r="D240" s="15" t="s">
        <v>1016</v>
      </c>
      <c r="E240" s="15" t="s">
        <v>1087</v>
      </c>
      <c r="F240" s="15" t="s">
        <v>1009</v>
      </c>
      <c r="G240" s="15" t="n">
        <v>4</v>
      </c>
      <c r="H240" s="15" t="n">
        <v>1</v>
      </c>
      <c r="I240" s="15" t="n">
        <f aca="false">IF(AND(ISNUMBER(G240),ISNUMBER(H240)),G240*2-H240,"")</f>
        <v>7</v>
      </c>
      <c r="J240" s="15" t="s">
        <v>1010</v>
      </c>
      <c r="K240" s="15" t="s">
        <v>1011</v>
      </c>
      <c r="L240" s="15" t="s">
        <v>1228</v>
      </c>
      <c r="M240" s="15" t="s">
        <v>125</v>
      </c>
      <c r="N240" s="15" t="str">
        <f aca="false">IF(M240="","Not built (workbook: do not build)",IFERROR(INDEX(Pages!$F$2:$F$98,MATCH(M240,Pages!$B$2:$B$98,0)),"Not found"))</f>
        <v>How to Start Investing in Mortgages: Step by Step</v>
      </c>
      <c r="O240" s="15" t="s">
        <v>113</v>
      </c>
      <c r="P240" s="16"/>
      <c r="Q240" s="16"/>
      <c r="R240" s="16"/>
      <c r="S240" s="16"/>
      <c r="T240" s="15"/>
    </row>
    <row r="241" customFormat="false" ht="15" hidden="false" customHeight="false" outlineLevel="0" collapsed="false">
      <c r="A241" s="15" t="s">
        <v>1290</v>
      </c>
      <c r="B241" s="15" t="s">
        <v>1022</v>
      </c>
      <c r="C241" s="15" t="s">
        <v>1288</v>
      </c>
      <c r="D241" s="15" t="s">
        <v>1016</v>
      </c>
      <c r="E241" s="15" t="s">
        <v>1087</v>
      </c>
      <c r="F241" s="15" t="s">
        <v>1009</v>
      </c>
      <c r="G241" s="15" t="n">
        <v>3</v>
      </c>
      <c r="H241" s="15" t="n">
        <v>1</v>
      </c>
      <c r="I241" s="15" t="n">
        <f aca="false">IF(AND(ISNUMBER(G241),ISNUMBER(H241)),G241*2-H241,"")</f>
        <v>5</v>
      </c>
      <c r="J241" s="15" t="s">
        <v>1019</v>
      </c>
      <c r="K241" s="15" t="s">
        <v>1020</v>
      </c>
      <c r="L241" s="15" t="s">
        <v>1228</v>
      </c>
      <c r="M241" s="15" t="s">
        <v>125</v>
      </c>
      <c r="N241" s="15" t="str">
        <f aca="false">IF(M241="","Not built (workbook: do not build)",IFERROR(INDEX(Pages!$F$2:$F$98,MATCH(M241,Pages!$B$2:$B$98,0)),"Not found"))</f>
        <v>How to Start Investing in Mortgages: Step by Step</v>
      </c>
      <c r="O241" s="15" t="s">
        <v>113</v>
      </c>
      <c r="P241" s="16"/>
      <c r="Q241" s="16"/>
      <c r="R241" s="16"/>
      <c r="S241" s="16"/>
      <c r="T241" s="15"/>
    </row>
    <row r="242" customFormat="false" ht="23.85" hidden="false" customHeight="false" outlineLevel="0" collapsed="false">
      <c r="A242" s="15" t="s">
        <v>1291</v>
      </c>
      <c r="B242" s="15" t="s">
        <v>1054</v>
      </c>
      <c r="C242" s="15" t="s">
        <v>1288</v>
      </c>
      <c r="D242" s="15" t="s">
        <v>1051</v>
      </c>
      <c r="E242" s="15" t="s">
        <v>1087</v>
      </c>
      <c r="F242" s="15" t="s">
        <v>1009</v>
      </c>
      <c r="G242" s="15" t="n">
        <v>4</v>
      </c>
      <c r="H242" s="15" t="n">
        <v>1</v>
      </c>
      <c r="I242" s="15" t="n">
        <f aca="false">IF(AND(ISNUMBER(G242),ISNUMBER(H242)),G242*2-H242,"")</f>
        <v>7</v>
      </c>
      <c r="J242" s="15" t="s">
        <v>1010</v>
      </c>
      <c r="K242" s="15" t="s">
        <v>1011</v>
      </c>
      <c r="L242" s="15" t="s">
        <v>1228</v>
      </c>
      <c r="M242" s="15" t="s">
        <v>125</v>
      </c>
      <c r="N242" s="15" t="str">
        <f aca="false">IF(M242="","Not built (workbook: do not build)",IFERROR(INDEX(Pages!$F$2:$F$98,MATCH(M242,Pages!$B$2:$B$98,0)),"Not found"))</f>
        <v>How to Start Investing in Mortgages: Step by Step</v>
      </c>
      <c r="O242" s="15" t="s">
        <v>113</v>
      </c>
      <c r="P242" s="16"/>
      <c r="Q242" s="16"/>
      <c r="R242" s="16"/>
      <c r="S242" s="16"/>
      <c r="T242" s="15"/>
    </row>
    <row r="243" customFormat="false" ht="15" hidden="false" customHeight="false" outlineLevel="0" collapsed="false">
      <c r="A243" s="15" t="s">
        <v>1292</v>
      </c>
      <c r="B243" s="15" t="s">
        <v>1054</v>
      </c>
      <c r="C243" s="15" t="s">
        <v>1288</v>
      </c>
      <c r="D243" s="15" t="s">
        <v>1057</v>
      </c>
      <c r="E243" s="15" t="s">
        <v>1087</v>
      </c>
      <c r="F243" s="15" t="s">
        <v>1009</v>
      </c>
      <c r="G243" s="15" t="n">
        <v>4</v>
      </c>
      <c r="H243" s="15" t="n">
        <v>1</v>
      </c>
      <c r="I243" s="15" t="n">
        <f aca="false">IF(AND(ISNUMBER(G243),ISNUMBER(H243)),G243*2-H243,"")</f>
        <v>7</v>
      </c>
      <c r="J243" s="15" t="s">
        <v>1010</v>
      </c>
      <c r="K243" s="15" t="s">
        <v>1011</v>
      </c>
      <c r="L243" s="15" t="s">
        <v>1059</v>
      </c>
      <c r="M243" s="15" t="s">
        <v>522</v>
      </c>
      <c r="N243" s="15" t="str">
        <f aca="false">IF(M243="","Not built (workbook: do not build)",IFERROR(INDEX(Pages!$F$2:$F$98,MATCH(M243,Pages!$B$2:$B$98,0)),"Not found"))</f>
        <v>Monthly Income Investments in Canada: Mortgage Cash Flow</v>
      </c>
      <c r="O243" s="15" t="s">
        <v>113</v>
      </c>
      <c r="P243" s="16"/>
      <c r="Q243" s="16"/>
      <c r="R243" s="16"/>
      <c r="S243" s="16"/>
      <c r="T243" s="15"/>
    </row>
    <row r="244" customFormat="false" ht="15" hidden="false" customHeight="false" outlineLevel="0" collapsed="false">
      <c r="A244" s="15" t="s">
        <v>1293</v>
      </c>
      <c r="B244" s="15" t="s">
        <v>1054</v>
      </c>
      <c r="C244" s="15" t="s">
        <v>1288</v>
      </c>
      <c r="D244" s="15" t="s">
        <v>1065</v>
      </c>
      <c r="E244" s="15" t="s">
        <v>1058</v>
      </c>
      <c r="F244" s="15" t="s">
        <v>1009</v>
      </c>
      <c r="G244" s="15" t="n">
        <v>5</v>
      </c>
      <c r="H244" s="15" t="n">
        <v>1</v>
      </c>
      <c r="I244" s="15" t="n">
        <f aca="false">IF(AND(ISNUMBER(G244),ISNUMBER(H244)),G244*2-H244,"")</f>
        <v>9</v>
      </c>
      <c r="J244" s="15" t="s">
        <v>1047</v>
      </c>
      <c r="K244" s="15" t="s">
        <v>1011</v>
      </c>
      <c r="L244" s="15" t="s">
        <v>1085</v>
      </c>
      <c r="M244" s="15" t="s">
        <v>450</v>
      </c>
      <c r="N244" s="15" t="str">
        <f aca="false">IF(M244="","Not built (workbook: do not build)",IFERROR(INDEX(Pages!$F$2:$F$98,MATCH(M244,Pages!$B$2:$B$98,0)),"Not found"))</f>
        <v>Liquidity Risk in a Mortgage Investment: Redemption</v>
      </c>
      <c r="O244" s="15" t="s">
        <v>113</v>
      </c>
      <c r="P244" s="16"/>
      <c r="Q244" s="16"/>
      <c r="R244" s="16"/>
      <c r="S244" s="16"/>
      <c r="T244" s="15"/>
    </row>
    <row r="245" customFormat="false" ht="15" hidden="false" customHeight="false" outlineLevel="0" collapsed="false">
      <c r="A245" s="15" t="s">
        <v>1294</v>
      </c>
      <c r="B245" s="15" t="s">
        <v>1054</v>
      </c>
      <c r="C245" s="15" t="s">
        <v>1288</v>
      </c>
      <c r="D245" s="15" t="s">
        <v>1016</v>
      </c>
      <c r="E245" s="15" t="s">
        <v>1058</v>
      </c>
      <c r="F245" s="15" t="s">
        <v>1009</v>
      </c>
      <c r="G245" s="15" t="n">
        <v>4</v>
      </c>
      <c r="H245" s="15" t="n">
        <v>1</v>
      </c>
      <c r="I245" s="15" t="n">
        <f aca="false">IF(AND(ISNUMBER(G245),ISNUMBER(H245)),G245*2-H245,"")</f>
        <v>7</v>
      </c>
      <c r="J245" s="15" t="s">
        <v>1010</v>
      </c>
      <c r="K245" s="15" t="s">
        <v>1011</v>
      </c>
      <c r="L245" s="15" t="s">
        <v>1061</v>
      </c>
      <c r="M245" s="15" t="s">
        <v>495</v>
      </c>
      <c r="N245" s="15" t="str">
        <f aca="false">IF(M245="","Not built (workbook: do not build)",IFERROR(INDEX(Pages!$F$2:$F$98,MATCH(M245,Pages!$B$2:$B$98,0)),"Not found"))</f>
        <v>MIC vs Direct Mortgage Investing: Pooled or Your Own</v>
      </c>
      <c r="O245" s="15" t="s">
        <v>113</v>
      </c>
      <c r="P245" s="16"/>
      <c r="Q245" s="16"/>
      <c r="R245" s="16"/>
      <c r="S245" s="16"/>
      <c r="T245" s="15"/>
    </row>
    <row r="246" customFormat="false" ht="15" hidden="false" customHeight="false" outlineLevel="0" collapsed="false">
      <c r="A246" s="15" t="s">
        <v>947</v>
      </c>
      <c r="B246" s="15" t="s">
        <v>1022</v>
      </c>
      <c r="C246" s="15" t="s">
        <v>1288</v>
      </c>
      <c r="D246" s="15" t="s">
        <v>1065</v>
      </c>
      <c r="E246" s="15" t="s">
        <v>1084</v>
      </c>
      <c r="F246" s="15" t="s">
        <v>1009</v>
      </c>
      <c r="G246" s="15" t="n">
        <v>3</v>
      </c>
      <c r="H246" s="15" t="n">
        <v>1</v>
      </c>
      <c r="I246" s="15" t="n">
        <f aca="false">IF(AND(ISNUMBER(G246),ISNUMBER(H246)),G246*2-H246,"")</f>
        <v>5</v>
      </c>
      <c r="J246" s="15" t="s">
        <v>1019</v>
      </c>
      <c r="K246" s="15" t="s">
        <v>1020</v>
      </c>
      <c r="L246" s="15" t="s">
        <v>1295</v>
      </c>
      <c r="M246" s="15" t="s">
        <v>943</v>
      </c>
      <c r="N246" s="15" t="str">
        <f aca="false">IF(M246="","Not built (workbook: do not build)",IFERROR(INDEX(Pages!$F$2:$F$98,MATCH(M246,Pages!$B$2:$B$98,0)),"Not found"))</f>
        <v>Mortgage Investment Reporting to Investors: What to Expect</v>
      </c>
      <c r="O246" s="15" t="s">
        <v>113</v>
      </c>
      <c r="P246" s="16"/>
      <c r="Q246" s="16"/>
      <c r="R246" s="16"/>
      <c r="S246" s="16"/>
      <c r="T246" s="15"/>
    </row>
    <row r="247" customFormat="false" ht="15" hidden="false" customHeight="false" outlineLevel="0" collapsed="false">
      <c r="A247" s="15" t="s">
        <v>1296</v>
      </c>
      <c r="B247" s="15" t="s">
        <v>1054</v>
      </c>
      <c r="C247" s="15" t="s">
        <v>1288</v>
      </c>
      <c r="D247" s="15" t="s">
        <v>1065</v>
      </c>
      <c r="E247" s="15" t="s">
        <v>1058</v>
      </c>
      <c r="F247" s="15" t="s">
        <v>1009</v>
      </c>
      <c r="G247" s="15" t="n">
        <v>4</v>
      </c>
      <c r="H247" s="15" t="n">
        <v>1</v>
      </c>
      <c r="I247" s="15" t="n">
        <f aca="false">IF(AND(ISNUMBER(G247),ISNUMBER(H247)),G247*2-H247,"")</f>
        <v>7</v>
      </c>
      <c r="J247" s="15" t="s">
        <v>1010</v>
      </c>
      <c r="K247" s="15" t="s">
        <v>1011</v>
      </c>
      <c r="L247" s="15" t="s">
        <v>1258</v>
      </c>
      <c r="M247" s="15" t="s">
        <v>531</v>
      </c>
      <c r="N247" s="15" t="str">
        <f aca="false">IF(M247="","Not built (workbook: do not build)",IFERROR(INDEX(Pages!$F$2:$F$98,MATCH(M247,Pages!$B$2:$B$98,0)),"Not found"))</f>
        <v>What Is a Mortgage Administrator? | Lendmax Capital MIC</v>
      </c>
      <c r="O247" s="15" t="s">
        <v>113</v>
      </c>
      <c r="P247" s="16"/>
      <c r="Q247" s="16"/>
      <c r="R247" s="16"/>
      <c r="S247" s="16"/>
      <c r="T247" s="15"/>
    </row>
    <row r="248" customFormat="false" ht="23.85" hidden="false" customHeight="false" outlineLevel="0" collapsed="false">
      <c r="A248" s="15" t="s">
        <v>1297</v>
      </c>
      <c r="B248" s="15" t="s">
        <v>1054</v>
      </c>
      <c r="C248" s="15" t="s">
        <v>1288</v>
      </c>
      <c r="D248" s="15" t="s">
        <v>1051</v>
      </c>
      <c r="E248" s="15" t="s">
        <v>1087</v>
      </c>
      <c r="F248" s="15" t="s">
        <v>1009</v>
      </c>
      <c r="G248" s="15" t="n">
        <v>3</v>
      </c>
      <c r="H248" s="15" t="n">
        <v>1</v>
      </c>
      <c r="I248" s="15" t="n">
        <f aca="false">IF(AND(ISNUMBER(G248),ISNUMBER(H248)),G248*2-H248,"")</f>
        <v>5</v>
      </c>
      <c r="J248" s="15" t="s">
        <v>1019</v>
      </c>
      <c r="K248" s="15" t="s">
        <v>1020</v>
      </c>
      <c r="L248" s="15" t="s">
        <v>1228</v>
      </c>
      <c r="M248" s="15" t="s">
        <v>125</v>
      </c>
      <c r="N248" s="15" t="str">
        <f aca="false">IF(M248="","Not built (workbook: do not build)",IFERROR(INDEX(Pages!$F$2:$F$98,MATCH(M248,Pages!$B$2:$B$98,0)),"Not found"))</f>
        <v>How to Start Investing in Mortgages: Step by Step</v>
      </c>
      <c r="O248" s="15" t="s">
        <v>113</v>
      </c>
      <c r="P248" s="16"/>
      <c r="Q248" s="16"/>
      <c r="R248" s="16"/>
      <c r="S248" s="16"/>
      <c r="T248" s="15"/>
    </row>
    <row r="249" customFormat="false" ht="15" hidden="false" customHeight="false" outlineLevel="0" collapsed="false">
      <c r="A249" s="15" t="s">
        <v>417</v>
      </c>
      <c r="B249" s="15" t="s">
        <v>1054</v>
      </c>
      <c r="C249" s="15" t="s">
        <v>1288</v>
      </c>
      <c r="D249" s="15" t="s">
        <v>1065</v>
      </c>
      <c r="E249" s="15" t="s">
        <v>1058</v>
      </c>
      <c r="F249" s="15" t="s">
        <v>1009</v>
      </c>
      <c r="G249" s="15" t="n">
        <v>4</v>
      </c>
      <c r="H249" s="15" t="n">
        <v>1</v>
      </c>
      <c r="I249" s="15" t="n">
        <f aca="false">IF(AND(ISNUMBER(G249),ISNUMBER(H249)),G249*2-H249,"")</f>
        <v>7</v>
      </c>
      <c r="J249" s="15" t="s">
        <v>1010</v>
      </c>
      <c r="K249" s="15" t="s">
        <v>1011</v>
      </c>
      <c r="L249" s="15" t="s">
        <v>1298</v>
      </c>
      <c r="M249" s="15" t="s">
        <v>413</v>
      </c>
      <c r="N249" s="15" t="str">
        <f aca="false">IF(M249="","Not built (workbook: do not build)",IFERROR(INDEX(Pages!$F$2:$F$98,MATCH(M249,Pages!$B$2:$B$98,0)),"Not found"))</f>
        <v>How Are Mortgages Underwritten for Investors?</v>
      </c>
      <c r="O249" s="15" t="s">
        <v>113</v>
      </c>
      <c r="P249" s="16"/>
      <c r="Q249" s="16"/>
      <c r="R249" s="16"/>
      <c r="S249" s="16"/>
      <c r="T249" s="15"/>
    </row>
    <row r="250" customFormat="false" ht="15" hidden="false" customHeight="false" outlineLevel="0" collapsed="false">
      <c r="A250" s="15" t="s">
        <v>189</v>
      </c>
      <c r="B250" s="15" t="s">
        <v>1022</v>
      </c>
      <c r="C250" s="15" t="s">
        <v>1288</v>
      </c>
      <c r="D250" s="15" t="s">
        <v>1016</v>
      </c>
      <c r="E250" s="15" t="s">
        <v>1023</v>
      </c>
      <c r="F250" s="15" t="s">
        <v>1009</v>
      </c>
      <c r="G250" s="15" t="n">
        <v>4</v>
      </c>
      <c r="H250" s="15" t="n">
        <v>1</v>
      </c>
      <c r="I250" s="15" t="n">
        <f aca="false">IF(AND(ISNUMBER(G250),ISNUMBER(H250)),G250*2-H250,"")</f>
        <v>7</v>
      </c>
      <c r="J250" s="15" t="s">
        <v>1010</v>
      </c>
      <c r="K250" s="15" t="s">
        <v>1011</v>
      </c>
      <c r="L250" s="15" t="s">
        <v>1134</v>
      </c>
      <c r="M250" s="15" t="s">
        <v>183</v>
      </c>
      <c r="N250" s="15" t="str">
        <f aca="false">IF(M250="","Not built (workbook: do not build)",IFERROR(INDEX(Pages!$F$2:$F$98,MATCH(M250,Pages!$B$2:$B$98,0)),"Not found"))</f>
        <v>Mortgage Investment Glossary for Canadian Investors</v>
      </c>
      <c r="O250" s="15" t="s">
        <v>113</v>
      </c>
      <c r="P250" s="16"/>
      <c r="Q250" s="16"/>
      <c r="R250" s="16"/>
      <c r="S250" s="16"/>
      <c r="T250" s="15"/>
    </row>
    <row r="251" customFormat="false" ht="15" hidden="false" customHeight="false" outlineLevel="0" collapsed="false">
      <c r="A251" s="15" t="s">
        <v>956</v>
      </c>
      <c r="B251" s="15" t="s">
        <v>1054</v>
      </c>
      <c r="C251" s="15" t="s">
        <v>1299</v>
      </c>
      <c r="D251" s="15" t="s">
        <v>1065</v>
      </c>
      <c r="E251" s="15" t="s">
        <v>1023</v>
      </c>
      <c r="F251" s="15" t="s">
        <v>1009</v>
      </c>
      <c r="G251" s="15" t="n">
        <v>4</v>
      </c>
      <c r="H251" s="15" t="n">
        <v>2</v>
      </c>
      <c r="I251" s="15" t="n">
        <f aca="false">IF(AND(ISNUMBER(G251),ISNUMBER(H251)),G251*2-H251,"")</f>
        <v>6</v>
      </c>
      <c r="J251" s="15" t="s">
        <v>1010</v>
      </c>
      <c r="K251" s="15" t="s">
        <v>1011</v>
      </c>
      <c r="L251" s="15" t="s">
        <v>1300</v>
      </c>
      <c r="M251" s="15" t="s">
        <v>952</v>
      </c>
      <c r="N251" s="15" t="str">
        <f aca="false">IF(M251="","Not built (workbook: do not build)",IFERROR(INDEX(Pages!$F$2:$F$98,MATCH(M251,Pages!$B$2:$B$98,0)),"Not found"))</f>
        <v>Who Should Invest in Mortgages? A Two-Sided Answer</v>
      </c>
      <c r="O251" s="15" t="s">
        <v>113</v>
      </c>
      <c r="P251" s="16"/>
      <c r="Q251" s="16"/>
      <c r="R251" s="16"/>
      <c r="S251" s="16"/>
      <c r="T251" s="15"/>
    </row>
    <row r="252" customFormat="false" ht="15" hidden="false" customHeight="false" outlineLevel="0" collapsed="false">
      <c r="A252" s="15" t="s">
        <v>1301</v>
      </c>
      <c r="B252" s="15" t="s">
        <v>1054</v>
      </c>
      <c r="C252" s="15" t="s">
        <v>1299</v>
      </c>
      <c r="D252" s="15" t="s">
        <v>1065</v>
      </c>
      <c r="E252" s="15" t="s">
        <v>1058</v>
      </c>
      <c r="F252" s="15" t="s">
        <v>1009</v>
      </c>
      <c r="G252" s="15" t="n">
        <v>5</v>
      </c>
      <c r="H252" s="15" t="n">
        <v>3</v>
      </c>
      <c r="I252" s="15" t="n">
        <f aca="false">IF(AND(ISNUMBER(G252),ISNUMBER(H252)),G252*2-H252,"")</f>
        <v>7</v>
      </c>
      <c r="J252" s="15" t="s">
        <v>1010</v>
      </c>
      <c r="K252" s="15" t="s">
        <v>1011</v>
      </c>
      <c r="L252" s="15" t="s">
        <v>1259</v>
      </c>
      <c r="M252" s="15" t="s">
        <v>195</v>
      </c>
      <c r="N252" s="15" t="str">
        <f aca="false">IF(M252="","Not built (workbook: do not build)",IFERROR(INDEX(Pages!$F$2:$F$98,MATCH(M252,Pages!$B$2:$B$98,0)),"Not found"))</f>
        <v>Accredited Investor in Canada: Who Qualifies</v>
      </c>
      <c r="O252" s="15" t="s">
        <v>113</v>
      </c>
      <c r="P252" s="16"/>
      <c r="Q252" s="16"/>
      <c r="R252" s="16"/>
      <c r="S252" s="16"/>
      <c r="T252" s="15"/>
    </row>
    <row r="253" customFormat="false" ht="15" hidden="false" customHeight="false" outlineLevel="0" collapsed="false">
      <c r="A253" s="15" t="s">
        <v>1302</v>
      </c>
      <c r="B253" s="15" t="s">
        <v>1022</v>
      </c>
      <c r="C253" s="15" t="s">
        <v>1299</v>
      </c>
      <c r="D253" s="15" t="s">
        <v>1057</v>
      </c>
      <c r="E253" s="15" t="s">
        <v>1023</v>
      </c>
      <c r="F253" s="15" t="s">
        <v>1009</v>
      </c>
      <c r="G253" s="15" t="n">
        <v>4</v>
      </c>
      <c r="H253" s="15" t="n">
        <v>1</v>
      </c>
      <c r="I253" s="15" t="n">
        <f aca="false">IF(AND(ISNUMBER(G253),ISNUMBER(H253)),G253*2-H253,"")</f>
        <v>7</v>
      </c>
      <c r="J253" s="15" t="s">
        <v>1010</v>
      </c>
      <c r="K253" s="15" t="s">
        <v>1011</v>
      </c>
      <c r="L253" s="15" t="s">
        <v>1195</v>
      </c>
      <c r="M253" s="15" t="s">
        <v>952</v>
      </c>
      <c r="N253" s="15" t="str">
        <f aca="false">IF(M253="","Not built (workbook: do not build)",IFERROR(INDEX(Pages!$F$2:$F$98,MATCH(M253,Pages!$B$2:$B$98,0)),"Not found"))</f>
        <v>Who Should Invest in Mortgages? A Two-Sided Answer</v>
      </c>
      <c r="O253" s="15" t="s">
        <v>113</v>
      </c>
      <c r="P253" s="16"/>
      <c r="Q253" s="16"/>
      <c r="R253" s="16"/>
      <c r="S253" s="16"/>
      <c r="T253" s="15"/>
    </row>
    <row r="254" customFormat="false" ht="23.85" hidden="false" customHeight="false" outlineLevel="0" collapsed="false">
      <c r="A254" s="15" t="s">
        <v>903</v>
      </c>
      <c r="B254" s="15" t="s">
        <v>1022</v>
      </c>
      <c r="C254" s="15" t="s">
        <v>1299</v>
      </c>
      <c r="D254" s="15" t="s">
        <v>1051</v>
      </c>
      <c r="E254" s="15" t="s">
        <v>1058</v>
      </c>
      <c r="F254" s="15" t="s">
        <v>1009</v>
      </c>
      <c r="G254" s="15" t="n">
        <v>4</v>
      </c>
      <c r="H254" s="15" t="n">
        <v>1</v>
      </c>
      <c r="I254" s="15" t="n">
        <f aca="false">IF(AND(ISNUMBER(G254),ISNUMBER(H254)),G254*2-H254,"")</f>
        <v>7</v>
      </c>
      <c r="J254" s="15" t="s">
        <v>1010</v>
      </c>
      <c r="K254" s="15" t="s">
        <v>1011</v>
      </c>
      <c r="L254" s="15" t="s">
        <v>1303</v>
      </c>
      <c r="M254" s="15" t="s">
        <v>246</v>
      </c>
      <c r="N254" s="15" t="str">
        <f aca="false">IF(M254="","Not built (workbook: do not build)",IFERROR(INDEX(Pages!$F$2:$F$98,MATCH(M254,Pages!$B$2:$B$98,0)),"Not found"))</f>
        <v>Bridge Mortgage Investing: How It Works | Lendmax Capital MIC</v>
      </c>
      <c r="O254" s="15" t="s">
        <v>113</v>
      </c>
      <c r="P254" s="16"/>
      <c r="Q254" s="16"/>
      <c r="R254" s="16"/>
      <c r="S254" s="16"/>
      <c r="T254" s="15"/>
    </row>
    <row r="255" customFormat="false" ht="15" hidden="false" customHeight="false" outlineLevel="0" collapsed="false">
      <c r="A255" s="15" t="s">
        <v>1304</v>
      </c>
      <c r="B255" s="15" t="s">
        <v>1022</v>
      </c>
      <c r="C255" s="15" t="s">
        <v>1299</v>
      </c>
      <c r="D255" s="15" t="s">
        <v>1016</v>
      </c>
      <c r="E255" s="15" t="s">
        <v>1058</v>
      </c>
      <c r="F255" s="15" t="s">
        <v>1009</v>
      </c>
      <c r="G255" s="15" t="n">
        <v>3</v>
      </c>
      <c r="H255" s="15" t="n">
        <v>1</v>
      </c>
      <c r="I255" s="15" t="n">
        <f aca="false">IF(AND(ISNUMBER(G255),ISNUMBER(H255)),G255*2-H255,"")</f>
        <v>5</v>
      </c>
      <c r="J255" s="15" t="s">
        <v>1019</v>
      </c>
      <c r="K255" s="15" t="s">
        <v>1020</v>
      </c>
      <c r="L255" s="15" t="s">
        <v>1305</v>
      </c>
      <c r="M255" s="15" t="s">
        <v>952</v>
      </c>
      <c r="N255" s="15" t="str">
        <f aca="false">IF(M255="","Not built (workbook: do not build)",IFERROR(INDEX(Pages!$F$2:$F$98,MATCH(M255,Pages!$B$2:$B$98,0)),"Not found"))</f>
        <v>Who Should Invest in Mortgages? A Two-Sided Answer</v>
      </c>
      <c r="O255" s="15" t="s">
        <v>113</v>
      </c>
      <c r="P255" s="16"/>
      <c r="Q255" s="16"/>
      <c r="R255" s="16"/>
      <c r="S255" s="16"/>
      <c r="T255" s="15"/>
    </row>
    <row r="256" customFormat="false" ht="15" hidden="false" customHeight="false" outlineLevel="0" collapsed="false">
      <c r="A256" s="15" t="s">
        <v>850</v>
      </c>
      <c r="B256" s="15" t="s">
        <v>1054</v>
      </c>
      <c r="C256" s="15" t="s">
        <v>1299</v>
      </c>
      <c r="D256" s="15" t="s">
        <v>350</v>
      </c>
      <c r="E256" s="15" t="s">
        <v>1023</v>
      </c>
      <c r="F256" s="15" t="s">
        <v>1009</v>
      </c>
      <c r="G256" s="15" t="n">
        <v>5</v>
      </c>
      <c r="H256" s="15" t="n">
        <v>1</v>
      </c>
      <c r="I256" s="15" t="n">
        <f aca="false">IF(AND(ISNUMBER(G256),ISNUMBER(H256)),G256*2-H256,"")</f>
        <v>9</v>
      </c>
      <c r="J256" s="15" t="s">
        <v>1047</v>
      </c>
      <c r="K256" s="15" t="s">
        <v>1011</v>
      </c>
      <c r="L256" s="15" t="s">
        <v>1279</v>
      </c>
      <c r="M256" s="15" t="s">
        <v>671</v>
      </c>
      <c r="N256" s="15" t="str">
        <f aca="false">IF(M256="","Not built (workbook: do not build)",IFERROR(INDEX(Pages!$F$2:$F$98,MATCH(M256,Pages!$B$2:$B$98,0)),"Not found"))</f>
        <v>Mortgage Investing vs Owning a Rental Property</v>
      </c>
      <c r="O256" s="15" t="s">
        <v>113</v>
      </c>
      <c r="P256" s="16"/>
      <c r="Q256" s="16"/>
      <c r="R256" s="16"/>
      <c r="S256" s="16"/>
      <c r="T256" s="15"/>
    </row>
    <row r="257" customFormat="false" ht="15" hidden="false" customHeight="false" outlineLevel="0" collapsed="false">
      <c r="A257" s="15" t="s">
        <v>1306</v>
      </c>
      <c r="B257" s="15" t="s">
        <v>1022</v>
      </c>
      <c r="C257" s="15" t="s">
        <v>1299</v>
      </c>
      <c r="D257" s="15" t="s">
        <v>1016</v>
      </c>
      <c r="E257" s="15" t="s">
        <v>1058</v>
      </c>
      <c r="F257" s="15" t="s">
        <v>1009</v>
      </c>
      <c r="G257" s="15" t="n">
        <v>4</v>
      </c>
      <c r="H257" s="15" t="n">
        <v>2</v>
      </c>
      <c r="I257" s="15" t="n">
        <f aca="false">IF(AND(ISNUMBER(G257),ISNUMBER(H257)),G257*2-H257,"")</f>
        <v>6</v>
      </c>
      <c r="J257" s="15" t="s">
        <v>1010</v>
      </c>
      <c r="K257" s="15" t="s">
        <v>1011</v>
      </c>
      <c r="L257" s="15" t="s">
        <v>1219</v>
      </c>
      <c r="M257" s="15" t="s">
        <v>952</v>
      </c>
      <c r="N257" s="15" t="str">
        <f aca="false">IF(M257="","Not built (workbook: do not build)",IFERROR(INDEX(Pages!$F$2:$F$98,MATCH(M257,Pages!$B$2:$B$98,0)),"Not found"))</f>
        <v>Who Should Invest in Mortgages? A Two-Sided Answer</v>
      </c>
      <c r="O257" s="15" t="s">
        <v>113</v>
      </c>
      <c r="P257" s="16"/>
      <c r="Q257" s="16"/>
      <c r="R257" s="16"/>
      <c r="S257" s="16"/>
      <c r="T257" s="15"/>
    </row>
    <row r="258" customFormat="false" ht="15" hidden="false" customHeight="false" outlineLevel="0" collapsed="false">
      <c r="A258" s="15" t="s">
        <v>1307</v>
      </c>
      <c r="B258" s="15" t="s">
        <v>1022</v>
      </c>
      <c r="C258" s="15" t="s">
        <v>1299</v>
      </c>
      <c r="D258" s="15" t="s">
        <v>1016</v>
      </c>
      <c r="E258" s="15" t="s">
        <v>1008</v>
      </c>
      <c r="F258" s="15" t="s">
        <v>1009</v>
      </c>
      <c r="G258" s="15" t="n">
        <v>4</v>
      </c>
      <c r="H258" s="15" t="n">
        <v>1</v>
      </c>
      <c r="I258" s="15" t="n">
        <f aca="false">IF(AND(ISNUMBER(G258),ISNUMBER(H258)),G258*2-H258,"")</f>
        <v>7</v>
      </c>
      <c r="J258" s="15" t="s">
        <v>1010</v>
      </c>
      <c r="K258" s="15" t="s">
        <v>1011</v>
      </c>
      <c r="L258" s="15" t="s">
        <v>1025</v>
      </c>
      <c r="M258" s="15" t="s">
        <v>576</v>
      </c>
      <c r="N258" s="15" t="str">
        <f aca="false">IF(M258="","Not built (workbook: do not build)",IFERROR(INDEX(Pages!$F$2:$F$98,MATCH(M258,Pages!$B$2:$B$98,0)),"Not found"))</f>
        <v>Mortgage Investing for Beginners in Canada | Lendmax Capital MIC</v>
      </c>
      <c r="O258" s="15" t="s">
        <v>113</v>
      </c>
      <c r="P258" s="16"/>
      <c r="Q258" s="16"/>
      <c r="R258" s="16"/>
      <c r="S258" s="16"/>
      <c r="T258" s="15"/>
    </row>
    <row r="259" customFormat="false" ht="15" hidden="false" customHeight="false" outlineLevel="0" collapsed="false">
      <c r="A259" s="15" t="s">
        <v>1308</v>
      </c>
      <c r="B259" s="15" t="s">
        <v>1022</v>
      </c>
      <c r="C259" s="15" t="s">
        <v>1299</v>
      </c>
      <c r="D259" s="15" t="s">
        <v>1065</v>
      </c>
      <c r="E259" s="15" t="s">
        <v>1058</v>
      </c>
      <c r="F259" s="15" t="s">
        <v>1009</v>
      </c>
      <c r="G259" s="15" t="n">
        <v>2</v>
      </c>
      <c r="H259" s="15" t="n">
        <v>1</v>
      </c>
      <c r="I259" s="15" t="n">
        <f aca="false">IF(AND(ISNUMBER(G259),ISNUMBER(H259)),G259*2-H259,"")</f>
        <v>3</v>
      </c>
      <c r="J259" s="15" t="s">
        <v>1115</v>
      </c>
      <c r="K259" s="15" t="s">
        <v>1020</v>
      </c>
      <c r="L259" s="15" t="s">
        <v>1259</v>
      </c>
      <c r="M259" s="15" t="s">
        <v>195</v>
      </c>
      <c r="N259" s="15" t="str">
        <f aca="false">IF(M259="","Not built (workbook: do not build)",IFERROR(INDEX(Pages!$F$2:$F$98,MATCH(M259,Pages!$B$2:$B$98,0)),"Not found"))</f>
        <v>Accredited Investor in Canada: Who Qualifies</v>
      </c>
      <c r="O259" s="15" t="s">
        <v>113</v>
      </c>
      <c r="P259" s="16"/>
      <c r="Q259" s="16"/>
      <c r="R259" s="16"/>
      <c r="S259" s="16"/>
      <c r="T259" s="15"/>
    </row>
    <row r="260" customFormat="false" ht="15" hidden="false" customHeight="false" outlineLevel="0" collapsed="false">
      <c r="A260" s="15" t="s">
        <v>597</v>
      </c>
      <c r="B260" s="15" t="s">
        <v>1015</v>
      </c>
      <c r="C260" s="15" t="s">
        <v>1309</v>
      </c>
      <c r="D260" s="15" t="s">
        <v>350</v>
      </c>
      <c r="E260" s="15" t="s">
        <v>1058</v>
      </c>
      <c r="F260" s="15" t="s">
        <v>1109</v>
      </c>
      <c r="G260" s="15" t="n">
        <v>5</v>
      </c>
      <c r="H260" s="15" t="n">
        <v>3</v>
      </c>
      <c r="I260" s="15" t="n">
        <f aca="false">IF(AND(ISNUMBER(G260),ISNUMBER(H260)),G260*2-H260,"")</f>
        <v>7</v>
      </c>
      <c r="J260" s="15" t="s">
        <v>1010</v>
      </c>
      <c r="K260" s="15" t="s">
        <v>1011</v>
      </c>
      <c r="L260" s="15" t="s">
        <v>1310</v>
      </c>
      <c r="M260" s="15" t="s">
        <v>731</v>
      </c>
      <c r="N260" s="15" t="str">
        <f aca="false">IF(M260="","Not built (workbook: do not build)",IFERROR(INDEX(Pages!$F$2:$F$98,MATCH(M260,Pages!$B$2:$B$98,0)),"Not found"))</f>
        <v>FSRA and the Private Mortgage Investor in Ontario</v>
      </c>
      <c r="O260" s="15" t="s">
        <v>113</v>
      </c>
      <c r="P260" s="16"/>
      <c r="Q260" s="16"/>
      <c r="R260" s="16"/>
      <c r="S260" s="16"/>
      <c r="T260" s="15" t="s">
        <v>1311</v>
      </c>
    </row>
    <row r="261" customFormat="false" ht="15" hidden="false" customHeight="false" outlineLevel="0" collapsed="false">
      <c r="A261" s="15" t="s">
        <v>1312</v>
      </c>
      <c r="B261" s="15" t="s">
        <v>1022</v>
      </c>
      <c r="C261" s="15" t="s">
        <v>1309</v>
      </c>
      <c r="D261" s="15" t="s">
        <v>350</v>
      </c>
      <c r="E261" s="15" t="s">
        <v>1058</v>
      </c>
      <c r="F261" s="15" t="s">
        <v>1109</v>
      </c>
      <c r="G261" s="15" t="n">
        <v>5</v>
      </c>
      <c r="H261" s="15" t="n">
        <v>2</v>
      </c>
      <c r="I261" s="15" t="n">
        <f aca="false">IF(AND(ISNUMBER(G261),ISNUMBER(H261)),G261*2-H261,"")</f>
        <v>8</v>
      </c>
      <c r="J261" s="15" t="s">
        <v>1047</v>
      </c>
      <c r="K261" s="15" t="s">
        <v>1011</v>
      </c>
      <c r="L261" s="15" t="s">
        <v>1310</v>
      </c>
      <c r="M261" s="15" t="s">
        <v>593</v>
      </c>
      <c r="N261" s="15" t="str">
        <f aca="false">IF(M261="","Not built (workbook: do not build)",IFERROR(INDEX(Pages!$F$2:$F$98,MATCH(M261,Pages!$B$2:$B$98,0)),"Not found"))</f>
        <v>Mortgage Investing in Ontario: Rules and How to Invest</v>
      </c>
      <c r="O261" s="15" t="s">
        <v>113</v>
      </c>
      <c r="P261" s="16"/>
      <c r="Q261" s="16"/>
      <c r="R261" s="16"/>
      <c r="S261" s="16"/>
      <c r="T261" s="15" t="s">
        <v>1311</v>
      </c>
    </row>
    <row r="262" customFormat="false" ht="15" hidden="false" customHeight="false" outlineLevel="0" collapsed="false">
      <c r="A262" s="15" t="s">
        <v>1313</v>
      </c>
      <c r="B262" s="15" t="s">
        <v>1022</v>
      </c>
      <c r="C262" s="15" t="s">
        <v>1309</v>
      </c>
      <c r="D262" s="15" t="s">
        <v>350</v>
      </c>
      <c r="E262" s="15" t="s">
        <v>1058</v>
      </c>
      <c r="F262" s="15" t="s">
        <v>1109</v>
      </c>
      <c r="G262" s="15" t="n">
        <v>5</v>
      </c>
      <c r="H262" s="15" t="n">
        <v>3</v>
      </c>
      <c r="I262" s="15" t="n">
        <f aca="false">IF(AND(ISNUMBER(G262),ISNUMBER(H262)),G262*2-H262,"")</f>
        <v>7</v>
      </c>
      <c r="J262" s="15" t="s">
        <v>1010</v>
      </c>
      <c r="K262" s="15" t="s">
        <v>1011</v>
      </c>
      <c r="L262" s="15" t="s">
        <v>1310</v>
      </c>
      <c r="M262" s="15" t="s">
        <v>593</v>
      </c>
      <c r="N262" s="15" t="str">
        <f aca="false">IF(M262="","Not built (workbook: do not build)",IFERROR(INDEX(Pages!$F$2:$F$98,MATCH(M262,Pages!$B$2:$B$98,0)),"Not found"))</f>
        <v>Mortgage Investing in Ontario: Rules and How to Invest</v>
      </c>
      <c r="O262" s="15" t="s">
        <v>113</v>
      </c>
      <c r="P262" s="16"/>
      <c r="Q262" s="16"/>
      <c r="R262" s="16"/>
      <c r="S262" s="16"/>
      <c r="T262" s="15" t="s">
        <v>1311</v>
      </c>
    </row>
    <row r="263" customFormat="false" ht="15" hidden="false" customHeight="false" outlineLevel="0" collapsed="false">
      <c r="A263" s="15" t="s">
        <v>1314</v>
      </c>
      <c r="B263" s="15" t="s">
        <v>1022</v>
      </c>
      <c r="C263" s="15" t="s">
        <v>1309</v>
      </c>
      <c r="D263" s="15" t="s">
        <v>350</v>
      </c>
      <c r="E263" s="15" t="s">
        <v>1027</v>
      </c>
      <c r="F263" s="15" t="s">
        <v>1109</v>
      </c>
      <c r="G263" s="15" t="n">
        <v>5</v>
      </c>
      <c r="H263" s="15" t="n">
        <v>2</v>
      </c>
      <c r="I263" s="15" t="n">
        <f aca="false">IF(AND(ISNUMBER(G263),ISNUMBER(H263)),G263*2-H263,"")</f>
        <v>8</v>
      </c>
      <c r="J263" s="15" t="s">
        <v>1047</v>
      </c>
      <c r="K263" s="15" t="s">
        <v>1020</v>
      </c>
      <c r="L263" s="15" t="s">
        <v>1310</v>
      </c>
      <c r="M263" s="15" t="s">
        <v>593</v>
      </c>
      <c r="N263" s="15" t="str">
        <f aca="false">IF(M263="","Not built (workbook: do not build)",IFERROR(INDEX(Pages!$F$2:$F$98,MATCH(M263,Pages!$B$2:$B$98,0)),"Not found"))</f>
        <v>Mortgage Investing in Ontario: Rules and How to Invest</v>
      </c>
      <c r="O263" s="15" t="s">
        <v>113</v>
      </c>
      <c r="P263" s="16"/>
      <c r="Q263" s="16"/>
      <c r="R263" s="16"/>
      <c r="S263" s="16"/>
      <c r="T263" s="15" t="s">
        <v>1311</v>
      </c>
    </row>
    <row r="264" customFormat="false" ht="23.85" hidden="false" customHeight="false" outlineLevel="0" collapsed="false">
      <c r="A264" s="15" t="s">
        <v>1315</v>
      </c>
      <c r="B264" s="15" t="s">
        <v>1022</v>
      </c>
      <c r="C264" s="15" t="s">
        <v>1309</v>
      </c>
      <c r="D264" s="15" t="s">
        <v>1051</v>
      </c>
      <c r="E264" s="15" t="s">
        <v>1027</v>
      </c>
      <c r="F264" s="15" t="s">
        <v>1109</v>
      </c>
      <c r="G264" s="15" t="n">
        <v>5</v>
      </c>
      <c r="H264" s="15" t="n">
        <v>2</v>
      </c>
      <c r="I264" s="15" t="n">
        <f aca="false">IF(AND(ISNUMBER(G264),ISNUMBER(H264)),G264*2-H264,"")</f>
        <v>8</v>
      </c>
      <c r="J264" s="15" t="s">
        <v>1047</v>
      </c>
      <c r="K264" s="15" t="s">
        <v>1011</v>
      </c>
      <c r="L264" s="15" t="s">
        <v>1310</v>
      </c>
      <c r="M264" s="15" t="s">
        <v>593</v>
      </c>
      <c r="N264" s="15" t="str">
        <f aca="false">IF(M264="","Not built (workbook: do not build)",IFERROR(INDEX(Pages!$F$2:$F$98,MATCH(M264,Pages!$B$2:$B$98,0)),"Not found"))</f>
        <v>Mortgage Investing in Ontario: Rules and How to Invest</v>
      </c>
      <c r="O264" s="15" t="s">
        <v>113</v>
      </c>
      <c r="P264" s="16"/>
      <c r="Q264" s="16"/>
      <c r="R264" s="16"/>
      <c r="S264" s="16"/>
      <c r="T264" s="15" t="s">
        <v>1311</v>
      </c>
    </row>
    <row r="265" customFormat="false" ht="15" hidden="false" customHeight="false" outlineLevel="0" collapsed="false">
      <c r="A265" s="15" t="s">
        <v>571</v>
      </c>
      <c r="B265" s="15" t="s">
        <v>1015</v>
      </c>
      <c r="C265" s="15" t="s">
        <v>1309</v>
      </c>
      <c r="D265" s="15" t="s">
        <v>350</v>
      </c>
      <c r="E265" s="15" t="s">
        <v>1058</v>
      </c>
      <c r="F265" s="15" t="s">
        <v>1236</v>
      </c>
      <c r="G265" s="15" t="n">
        <v>5</v>
      </c>
      <c r="H265" s="15" t="n">
        <v>2</v>
      </c>
      <c r="I265" s="15" t="n">
        <f aca="false">IF(AND(ISNUMBER(G265),ISNUMBER(H265)),G265*2-H265,"")</f>
        <v>8</v>
      </c>
      <c r="J265" s="15" t="s">
        <v>1047</v>
      </c>
      <c r="K265" s="15" t="s">
        <v>1011</v>
      </c>
      <c r="L265" s="15" t="s">
        <v>1316</v>
      </c>
      <c r="M265" s="15" t="s">
        <v>713</v>
      </c>
      <c r="N265" s="15" t="str">
        <f aca="false">IF(M265="","Not built (workbook: do not build)",IFERROR(INDEX(Pages!$F$2:$F$98,MATCH(M265,Pages!$B$2:$B$98,0)),"Not found"))</f>
        <v>BC Mortgage Services Act: What Investors Need to Know</v>
      </c>
      <c r="O265" s="15" t="s">
        <v>113</v>
      </c>
      <c r="P265" s="16"/>
      <c r="Q265" s="16"/>
      <c r="R265" s="16"/>
      <c r="S265" s="16"/>
      <c r="T265" s="15" t="s">
        <v>1311</v>
      </c>
    </row>
    <row r="266" customFormat="false" ht="15" hidden="false" customHeight="false" outlineLevel="0" collapsed="false">
      <c r="A266" s="15" t="s">
        <v>1317</v>
      </c>
      <c r="B266" s="15" t="s">
        <v>1015</v>
      </c>
      <c r="C266" s="15" t="s">
        <v>1309</v>
      </c>
      <c r="D266" s="15" t="s">
        <v>350</v>
      </c>
      <c r="E266" s="15" t="s">
        <v>1058</v>
      </c>
      <c r="F266" s="15" t="s">
        <v>1236</v>
      </c>
      <c r="G266" s="15" t="n">
        <v>4</v>
      </c>
      <c r="H266" s="15" t="n">
        <v>3</v>
      </c>
      <c r="I266" s="15" t="n">
        <f aca="false">IF(AND(ISNUMBER(G266),ISNUMBER(H266)),G266*2-H266,"")</f>
        <v>5</v>
      </c>
      <c r="J266" s="15" t="s">
        <v>1019</v>
      </c>
      <c r="K266" s="15" t="s">
        <v>1020</v>
      </c>
      <c r="L266" s="15" t="s">
        <v>1316</v>
      </c>
      <c r="M266" s="15" t="s">
        <v>713</v>
      </c>
      <c r="N266" s="15" t="str">
        <f aca="false">IF(M266="","Not built (workbook: do not build)",IFERROR(INDEX(Pages!$F$2:$F$98,MATCH(M266,Pages!$B$2:$B$98,0)),"Not found"))</f>
        <v>BC Mortgage Services Act: What Investors Need to Know</v>
      </c>
      <c r="O266" s="15" t="s">
        <v>113</v>
      </c>
      <c r="P266" s="16"/>
      <c r="Q266" s="16"/>
      <c r="R266" s="16"/>
      <c r="S266" s="16"/>
      <c r="T266" s="15" t="s">
        <v>1311</v>
      </c>
    </row>
    <row r="267" customFormat="false" ht="15" hidden="false" customHeight="false" outlineLevel="0" collapsed="false">
      <c r="A267" s="15" t="s">
        <v>1318</v>
      </c>
      <c r="B267" s="15" t="s">
        <v>1022</v>
      </c>
      <c r="C267" s="15" t="s">
        <v>1309</v>
      </c>
      <c r="D267" s="15" t="s">
        <v>350</v>
      </c>
      <c r="E267" s="15" t="s">
        <v>1058</v>
      </c>
      <c r="F267" s="15" t="s">
        <v>1236</v>
      </c>
      <c r="G267" s="15" t="n">
        <v>5</v>
      </c>
      <c r="H267" s="15" t="n">
        <v>2</v>
      </c>
      <c r="I267" s="15" t="n">
        <f aca="false">IF(AND(ISNUMBER(G267),ISNUMBER(H267)),G267*2-H267,"")</f>
        <v>8</v>
      </c>
      <c r="J267" s="15" t="s">
        <v>1047</v>
      </c>
      <c r="K267" s="15" t="s">
        <v>1011</v>
      </c>
      <c r="L267" s="15" t="s">
        <v>1316</v>
      </c>
      <c r="M267" s="15" t="s">
        <v>567</v>
      </c>
      <c r="N267" s="15" t="str">
        <f aca="false">IF(M267="","Not built (workbook: do not build)",IFERROR(INDEX(Pages!$F$2:$F$98,MATCH(M267,Pages!$B$2:$B$98,0)),"Not found"))</f>
        <v>Mortgage Investing in British Columbia: 2026 Guide</v>
      </c>
      <c r="O267" s="15" t="s">
        <v>113</v>
      </c>
      <c r="P267" s="16"/>
      <c r="Q267" s="16"/>
      <c r="R267" s="16"/>
      <c r="S267" s="16"/>
      <c r="T267" s="15" t="s">
        <v>1311</v>
      </c>
    </row>
    <row r="268" customFormat="false" ht="23.85" hidden="false" customHeight="false" outlineLevel="0" collapsed="false">
      <c r="A268" s="15" t="s">
        <v>1319</v>
      </c>
      <c r="B268" s="15" t="s">
        <v>1022</v>
      </c>
      <c r="C268" s="15" t="s">
        <v>1309</v>
      </c>
      <c r="D268" s="15" t="s">
        <v>1051</v>
      </c>
      <c r="E268" s="15" t="s">
        <v>1027</v>
      </c>
      <c r="F268" s="15" t="s">
        <v>1236</v>
      </c>
      <c r="G268" s="15" t="n">
        <v>4</v>
      </c>
      <c r="H268" s="15" t="n">
        <v>2</v>
      </c>
      <c r="I268" s="15" t="n">
        <f aca="false">IF(AND(ISNUMBER(G268),ISNUMBER(H268)),G268*2-H268,"")</f>
        <v>6</v>
      </c>
      <c r="J268" s="15" t="s">
        <v>1010</v>
      </c>
      <c r="K268" s="15" t="s">
        <v>1011</v>
      </c>
      <c r="L268" s="15" t="s">
        <v>1316</v>
      </c>
      <c r="M268" s="15" t="s">
        <v>567</v>
      </c>
      <c r="N268" s="15" t="str">
        <f aca="false">IF(M268="","Not built (workbook: do not build)",IFERROR(INDEX(Pages!$F$2:$F$98,MATCH(M268,Pages!$B$2:$B$98,0)),"Not found"))</f>
        <v>Mortgage Investing in British Columbia: 2026 Guide</v>
      </c>
      <c r="O268" s="15" t="s">
        <v>113</v>
      </c>
      <c r="P268" s="16"/>
      <c r="Q268" s="16"/>
      <c r="R268" s="16"/>
      <c r="S268" s="16"/>
      <c r="T268" s="15" t="s">
        <v>1311</v>
      </c>
    </row>
    <row r="269" customFormat="false" ht="15" hidden="false" customHeight="false" outlineLevel="0" collapsed="false">
      <c r="A269" s="15" t="s">
        <v>562</v>
      </c>
      <c r="B269" s="15" t="s">
        <v>1015</v>
      </c>
      <c r="C269" s="15" t="s">
        <v>1309</v>
      </c>
      <c r="D269" s="15" t="s">
        <v>350</v>
      </c>
      <c r="E269" s="15" t="s">
        <v>1058</v>
      </c>
      <c r="F269" s="15" t="s">
        <v>1240</v>
      </c>
      <c r="G269" s="15" t="n">
        <v>4</v>
      </c>
      <c r="H269" s="15" t="n">
        <v>2</v>
      </c>
      <c r="I269" s="15" t="n">
        <f aca="false">IF(AND(ISNUMBER(G269),ISNUMBER(H269)),G269*2-H269,"")</f>
        <v>6</v>
      </c>
      <c r="J269" s="15" t="s">
        <v>1010</v>
      </c>
      <c r="K269" s="15" t="s">
        <v>1011</v>
      </c>
      <c r="L269" s="15" t="s">
        <v>1320</v>
      </c>
      <c r="M269" s="15" t="s">
        <v>705</v>
      </c>
      <c r="N269" s="15" t="str">
        <f aca="false">IF(M269="","Not built (workbook: do not build)",IFERROR(INDEX(Pages!$F$2:$F$98,MATCH(M269,Pages!$B$2:$B$98,0)),"Not found"))</f>
        <v>Mortgage Investing in Alberta: Regulation and Enforcement</v>
      </c>
      <c r="O269" s="15" t="s">
        <v>113</v>
      </c>
      <c r="P269" s="16"/>
      <c r="Q269" s="16"/>
      <c r="R269" s="16"/>
      <c r="S269" s="16"/>
      <c r="T269" s="15" t="s">
        <v>1321</v>
      </c>
    </row>
    <row r="270" customFormat="false" ht="23.85" hidden="false" customHeight="false" outlineLevel="0" collapsed="false">
      <c r="A270" s="15" t="s">
        <v>1322</v>
      </c>
      <c r="B270" s="15" t="s">
        <v>1022</v>
      </c>
      <c r="C270" s="15" t="s">
        <v>1309</v>
      </c>
      <c r="D270" s="15" t="s">
        <v>1051</v>
      </c>
      <c r="E270" s="15" t="s">
        <v>1027</v>
      </c>
      <c r="F270" s="15" t="s">
        <v>1240</v>
      </c>
      <c r="G270" s="15" t="n">
        <v>4</v>
      </c>
      <c r="H270" s="15" t="n">
        <v>2</v>
      </c>
      <c r="I270" s="15" t="n">
        <f aca="false">IF(AND(ISNUMBER(G270),ISNUMBER(H270)),G270*2-H270,"")</f>
        <v>6</v>
      </c>
      <c r="J270" s="15" t="s">
        <v>1010</v>
      </c>
      <c r="K270" s="15" t="s">
        <v>1011</v>
      </c>
      <c r="L270" s="15" t="s">
        <v>1320</v>
      </c>
      <c r="M270" s="15" t="s">
        <v>705</v>
      </c>
      <c r="N270" s="15" t="str">
        <f aca="false">IF(M270="","Not built (workbook: do not build)",IFERROR(INDEX(Pages!$F$2:$F$98,MATCH(M270,Pages!$B$2:$B$98,0)),"Not found"))</f>
        <v>Mortgage Investing in Alberta: Regulation and Enforcement</v>
      </c>
      <c r="O270" s="15" t="s">
        <v>113</v>
      </c>
      <c r="P270" s="16"/>
      <c r="Q270" s="16"/>
      <c r="R270" s="16"/>
      <c r="S270" s="16"/>
      <c r="T270" s="15" t="s">
        <v>1321</v>
      </c>
    </row>
    <row r="271" customFormat="false" ht="15" hidden="false" customHeight="false" outlineLevel="0" collapsed="false">
      <c r="A271" s="15" t="s">
        <v>1323</v>
      </c>
      <c r="B271" s="15" t="s">
        <v>1022</v>
      </c>
      <c r="C271" s="15" t="s">
        <v>1309</v>
      </c>
      <c r="D271" s="15" t="s">
        <v>350</v>
      </c>
      <c r="E271" s="15" t="s">
        <v>1058</v>
      </c>
      <c r="F271" s="15" t="s">
        <v>1240</v>
      </c>
      <c r="G271" s="15" t="n">
        <v>4</v>
      </c>
      <c r="H271" s="15" t="n">
        <v>2</v>
      </c>
      <c r="I271" s="15" t="n">
        <f aca="false">IF(AND(ISNUMBER(G271),ISNUMBER(H271)),G271*2-H271,"")</f>
        <v>6</v>
      </c>
      <c r="J271" s="15" t="s">
        <v>1010</v>
      </c>
      <c r="K271" s="15" t="s">
        <v>1011</v>
      </c>
      <c r="L271" s="15" t="s">
        <v>1320</v>
      </c>
      <c r="M271" s="15" t="s">
        <v>557</v>
      </c>
      <c r="N271" s="15" t="str">
        <f aca="false">IF(M271="","Not built (workbook: do not build)",IFERROR(INDEX(Pages!$F$2:$F$98,MATCH(M271,Pages!$B$2:$B$98,0)),"Not found"))</f>
        <v>Mortgage Investing in Alberta: Rules and Enforcement</v>
      </c>
      <c r="O271" s="15" t="s">
        <v>113</v>
      </c>
      <c r="P271" s="16"/>
      <c r="Q271" s="16"/>
      <c r="R271" s="16"/>
      <c r="S271" s="16"/>
      <c r="T271" s="15" t="s">
        <v>1321</v>
      </c>
    </row>
    <row r="272" customFormat="false" ht="15" hidden="false" customHeight="false" outlineLevel="0" collapsed="false">
      <c r="A272" s="15" t="s">
        <v>1324</v>
      </c>
      <c r="B272" s="15" t="s">
        <v>1022</v>
      </c>
      <c r="C272" s="15" t="s">
        <v>1309</v>
      </c>
      <c r="D272" s="15" t="s">
        <v>350</v>
      </c>
      <c r="E272" s="15" t="s">
        <v>1058</v>
      </c>
      <c r="F272" s="15" t="s">
        <v>1325</v>
      </c>
      <c r="G272" s="15" t="n">
        <v>3</v>
      </c>
      <c r="H272" s="15" t="n">
        <v>1</v>
      </c>
      <c r="I272" s="15" t="n">
        <f aca="false">IF(AND(ISNUMBER(G272),ISNUMBER(H272)),G272*2-H272,"")</f>
        <v>5</v>
      </c>
      <c r="J272" s="15" t="s">
        <v>1019</v>
      </c>
      <c r="K272" s="15" t="s">
        <v>1020</v>
      </c>
      <c r="L272" s="15" t="s">
        <v>1326</v>
      </c>
      <c r="M272" s="15" t="s">
        <v>557</v>
      </c>
      <c r="N272" s="15" t="str">
        <f aca="false">IF(M272="","Not built (workbook: do not build)",IFERROR(INDEX(Pages!$F$2:$F$98,MATCH(M272,Pages!$B$2:$B$98,0)),"Not found"))</f>
        <v>Mortgage Investing in Alberta: Rules and Enforcement</v>
      </c>
      <c r="O272" s="15" t="s">
        <v>113</v>
      </c>
      <c r="P272" s="16"/>
      <c r="Q272" s="16"/>
      <c r="R272" s="16"/>
      <c r="S272" s="16"/>
      <c r="T272" s="15" t="s">
        <v>1321</v>
      </c>
    </row>
    <row r="273" customFormat="false" ht="15" hidden="false" customHeight="false" outlineLevel="0" collapsed="false">
      <c r="A273" s="15" t="s">
        <v>633</v>
      </c>
      <c r="B273" s="15" t="s">
        <v>1015</v>
      </c>
      <c r="C273" s="15" t="s">
        <v>1309</v>
      </c>
      <c r="D273" s="15" t="s">
        <v>350</v>
      </c>
      <c r="E273" s="15" t="s">
        <v>1058</v>
      </c>
      <c r="F273" s="15" t="s">
        <v>1243</v>
      </c>
      <c r="G273" s="15" t="n">
        <v>2</v>
      </c>
      <c r="H273" s="15" t="n">
        <v>1</v>
      </c>
      <c r="I273" s="15" t="n">
        <f aca="false">IF(AND(ISNUMBER(G273),ISNUMBER(H273)),G273*2-H273,"")</f>
        <v>3</v>
      </c>
      <c r="J273" s="15" t="s">
        <v>1115</v>
      </c>
      <c r="K273" s="15" t="s">
        <v>1020</v>
      </c>
      <c r="L273" s="15" t="s">
        <v>1327</v>
      </c>
      <c r="M273" s="15" t="s">
        <v>638</v>
      </c>
      <c r="N273" s="15" t="str">
        <f aca="false">IF(M273="","Not built (workbook: do not build)",IFERROR(INDEX(Pages!$F$2:$F$98,MATCH(M273,Pages!$B$2:$B$98,0)),"Not found"))</f>
        <v>Mortgage Investing in Quebec: Hypothecs and Recourses</v>
      </c>
      <c r="O273" s="15" t="s">
        <v>113</v>
      </c>
      <c r="P273" s="16"/>
      <c r="Q273" s="16"/>
      <c r="R273" s="16"/>
      <c r="S273" s="16"/>
      <c r="T273" s="15" t="s">
        <v>1328</v>
      </c>
    </row>
    <row r="274" customFormat="false" ht="15" hidden="false" customHeight="false" outlineLevel="0" collapsed="false">
      <c r="A274" s="15" t="s">
        <v>1329</v>
      </c>
      <c r="B274" s="15" t="s">
        <v>1015</v>
      </c>
      <c r="C274" s="15" t="s">
        <v>1309</v>
      </c>
      <c r="D274" s="15" t="s">
        <v>350</v>
      </c>
      <c r="E274" s="15" t="s">
        <v>1058</v>
      </c>
      <c r="F274" s="15" t="s">
        <v>1330</v>
      </c>
      <c r="G274" s="15" t="n">
        <v>2</v>
      </c>
      <c r="H274" s="15" t="n">
        <v>1</v>
      </c>
      <c r="I274" s="15" t="n">
        <f aca="false">IF(AND(ISNUMBER(G274),ISNUMBER(H274)),G274*2-H274,"")</f>
        <v>3</v>
      </c>
      <c r="J274" s="15" t="s">
        <v>1115</v>
      </c>
      <c r="K274" s="15" t="s">
        <v>1148</v>
      </c>
      <c r="L274" s="15" t="s">
        <v>1331</v>
      </c>
      <c r="M274" s="15" t="s">
        <v>629</v>
      </c>
      <c r="N274" s="15" t="str">
        <f aca="false">IF(M274="","Not built (workbook: do not build)",IFERROR(INDEX(Pages!$F$2:$F$98,MATCH(M274,Pages!$B$2:$B$98,0)),"Not found"))</f>
        <v>Mortgage Investing in Quebec, Prairies and Atlantic Canada</v>
      </c>
      <c r="O274" s="15" t="s">
        <v>113</v>
      </c>
      <c r="P274" s="16"/>
      <c r="Q274" s="16"/>
      <c r="R274" s="16"/>
      <c r="S274" s="16"/>
      <c r="T274" s="15" t="s">
        <v>1328</v>
      </c>
    </row>
    <row r="275" customFormat="false" ht="15" hidden="false" customHeight="false" outlineLevel="0" collapsed="false">
      <c r="A275" s="15" t="s">
        <v>1332</v>
      </c>
      <c r="B275" s="15" t="s">
        <v>1015</v>
      </c>
      <c r="C275" s="15" t="s">
        <v>1309</v>
      </c>
      <c r="D275" s="15" t="s">
        <v>350</v>
      </c>
      <c r="E275" s="15" t="s">
        <v>1058</v>
      </c>
      <c r="F275" s="15" t="s">
        <v>1333</v>
      </c>
      <c r="G275" s="15" t="n">
        <v>2</v>
      </c>
      <c r="H275" s="15" t="n">
        <v>1</v>
      </c>
      <c r="I275" s="15" t="n">
        <f aca="false">IF(AND(ISNUMBER(G275),ISNUMBER(H275)),G275*2-H275,"")</f>
        <v>3</v>
      </c>
      <c r="J275" s="15" t="s">
        <v>1115</v>
      </c>
      <c r="K275" s="15" t="s">
        <v>1148</v>
      </c>
      <c r="L275" s="15" t="s">
        <v>1331</v>
      </c>
      <c r="M275" s="15" t="s">
        <v>629</v>
      </c>
      <c r="N275" s="15" t="str">
        <f aca="false">IF(M275="","Not built (workbook: do not build)",IFERROR(INDEX(Pages!$F$2:$F$98,MATCH(M275,Pages!$B$2:$B$98,0)),"Not found"))</f>
        <v>Mortgage Investing in Quebec, Prairies and Atlantic Canada</v>
      </c>
      <c r="O275" s="15" t="s">
        <v>113</v>
      </c>
      <c r="P275" s="16"/>
      <c r="Q275" s="16"/>
      <c r="R275" s="16"/>
      <c r="S275" s="16"/>
      <c r="T275" s="15" t="s">
        <v>1328</v>
      </c>
    </row>
    <row r="276" customFormat="false" ht="15" hidden="false" customHeight="false" outlineLevel="0" collapsed="false">
      <c r="A276" s="15" t="s">
        <v>1334</v>
      </c>
      <c r="B276" s="15" t="s">
        <v>1015</v>
      </c>
      <c r="C276" s="15" t="s">
        <v>1309</v>
      </c>
      <c r="D276" s="15" t="s">
        <v>350</v>
      </c>
      <c r="E276" s="15" t="s">
        <v>1058</v>
      </c>
      <c r="F276" s="15" t="s">
        <v>1335</v>
      </c>
      <c r="G276" s="15" t="n">
        <v>1</v>
      </c>
      <c r="H276" s="15" t="n">
        <v>1</v>
      </c>
      <c r="I276" s="15" t="n">
        <f aca="false">IF(AND(ISNUMBER(G276),ISNUMBER(H276)),G276*2-H276,"")</f>
        <v>1</v>
      </c>
      <c r="J276" s="15" t="s">
        <v>1115</v>
      </c>
      <c r="K276" s="15" t="s">
        <v>1148</v>
      </c>
      <c r="L276" s="15" t="s">
        <v>1336</v>
      </c>
      <c r="M276" s="15" t="s">
        <v>629</v>
      </c>
      <c r="N276" s="15" t="str">
        <f aca="false">IF(M276="","Not built (workbook: do not build)",IFERROR(INDEX(Pages!$F$2:$F$98,MATCH(M276,Pages!$B$2:$B$98,0)),"Not found"))</f>
        <v>Mortgage Investing in Quebec, Prairies and Atlantic Canada</v>
      </c>
      <c r="O276" s="15" t="s">
        <v>113</v>
      </c>
      <c r="P276" s="16"/>
      <c r="Q276" s="16"/>
      <c r="R276" s="16"/>
      <c r="S276" s="16"/>
      <c r="T276" s="15" t="s">
        <v>1337</v>
      </c>
    </row>
    <row r="277" customFormat="false" ht="15" hidden="false" customHeight="false" outlineLevel="0" collapsed="false">
      <c r="A277" s="15" t="s">
        <v>1338</v>
      </c>
      <c r="B277" s="15" t="s">
        <v>1015</v>
      </c>
      <c r="C277" s="15" t="s">
        <v>1309</v>
      </c>
      <c r="D277" s="15" t="s">
        <v>350</v>
      </c>
      <c r="E277" s="15" t="s">
        <v>1058</v>
      </c>
      <c r="F277" s="15" t="s">
        <v>1339</v>
      </c>
      <c r="G277" s="15" t="n">
        <v>1</v>
      </c>
      <c r="H277" s="15" t="n">
        <v>1</v>
      </c>
      <c r="I277" s="15" t="n">
        <f aca="false">IF(AND(ISNUMBER(G277),ISNUMBER(H277)),G277*2-H277,"")</f>
        <v>1</v>
      </c>
      <c r="J277" s="15" t="s">
        <v>1115</v>
      </c>
      <c r="K277" s="15" t="s">
        <v>1148</v>
      </c>
      <c r="L277" s="15" t="s">
        <v>1336</v>
      </c>
      <c r="M277" s="15" t="s">
        <v>629</v>
      </c>
      <c r="N277" s="15" t="str">
        <f aca="false">IF(M277="","Not built (workbook: do not build)",IFERROR(INDEX(Pages!$F$2:$F$98,MATCH(M277,Pages!$B$2:$B$98,0)),"Not found"))</f>
        <v>Mortgage Investing in Quebec, Prairies and Atlantic Canada</v>
      </c>
      <c r="O277" s="15" t="s">
        <v>113</v>
      </c>
      <c r="P277" s="16"/>
      <c r="Q277" s="16"/>
      <c r="R277" s="16"/>
      <c r="S277" s="16"/>
      <c r="T277" s="15" t="s">
        <v>1337</v>
      </c>
    </row>
    <row r="278" customFormat="false" ht="15" hidden="false" customHeight="false" outlineLevel="0" collapsed="false">
      <c r="A278" s="15" t="s">
        <v>1340</v>
      </c>
      <c r="B278" s="15" t="s">
        <v>1015</v>
      </c>
      <c r="C278" s="15" t="s">
        <v>1309</v>
      </c>
      <c r="D278" s="15" t="s">
        <v>350</v>
      </c>
      <c r="E278" s="15" t="s">
        <v>1058</v>
      </c>
      <c r="F278" s="15" t="s">
        <v>1341</v>
      </c>
      <c r="G278" s="15" t="n">
        <v>1</v>
      </c>
      <c r="H278" s="15" t="n">
        <v>1</v>
      </c>
      <c r="I278" s="15" t="n">
        <f aca="false">IF(AND(ISNUMBER(G278),ISNUMBER(H278)),G278*2-H278,"")</f>
        <v>1</v>
      </c>
      <c r="J278" s="15" t="s">
        <v>1115</v>
      </c>
      <c r="K278" s="15" t="s">
        <v>1148</v>
      </c>
      <c r="L278" s="15" t="s">
        <v>1336</v>
      </c>
      <c r="M278" s="15" t="s">
        <v>629</v>
      </c>
      <c r="N278" s="15" t="str">
        <f aca="false">IF(M278="","Not built (workbook: do not build)",IFERROR(INDEX(Pages!$F$2:$F$98,MATCH(M278,Pages!$B$2:$B$98,0)),"Not found"))</f>
        <v>Mortgage Investing in Quebec, Prairies and Atlantic Canada</v>
      </c>
      <c r="O278" s="15" t="s">
        <v>113</v>
      </c>
      <c r="P278" s="16"/>
      <c r="Q278" s="16"/>
      <c r="R278" s="16"/>
      <c r="S278" s="16"/>
      <c r="T278" s="15" t="s">
        <v>1337</v>
      </c>
    </row>
    <row r="279" customFormat="false" ht="15" hidden="false" customHeight="false" outlineLevel="0" collapsed="false">
      <c r="A279" s="15" t="s">
        <v>1342</v>
      </c>
      <c r="B279" s="15" t="s">
        <v>1015</v>
      </c>
      <c r="C279" s="15" t="s">
        <v>1309</v>
      </c>
      <c r="D279" s="15" t="s">
        <v>350</v>
      </c>
      <c r="E279" s="15" t="s">
        <v>1058</v>
      </c>
      <c r="F279" s="15" t="s">
        <v>1343</v>
      </c>
      <c r="G279" s="15" t="n">
        <v>1</v>
      </c>
      <c r="H279" s="15" t="n">
        <v>1</v>
      </c>
      <c r="I279" s="15" t="n">
        <f aca="false">IF(AND(ISNUMBER(G279),ISNUMBER(H279)),G279*2-H279,"")</f>
        <v>1</v>
      </c>
      <c r="J279" s="15" t="s">
        <v>1115</v>
      </c>
      <c r="K279" s="15" t="s">
        <v>1148</v>
      </c>
      <c r="L279" s="15" t="s">
        <v>1336</v>
      </c>
      <c r="M279" s="15" t="s">
        <v>629</v>
      </c>
      <c r="N279" s="15" t="str">
        <f aca="false">IF(M279="","Not built (workbook: do not build)",IFERROR(INDEX(Pages!$F$2:$F$98,MATCH(M279,Pages!$B$2:$B$98,0)),"Not found"))</f>
        <v>Mortgage Investing in Quebec, Prairies and Atlantic Canada</v>
      </c>
      <c r="O279" s="15" t="s">
        <v>113</v>
      </c>
      <c r="P279" s="16"/>
      <c r="Q279" s="16"/>
      <c r="R279" s="16"/>
      <c r="S279" s="16"/>
      <c r="T279" s="15" t="s">
        <v>1337</v>
      </c>
    </row>
    <row r="280" customFormat="false" ht="23.85" hidden="false" customHeight="false" outlineLevel="0" collapsed="false">
      <c r="A280" s="15" t="s">
        <v>1344</v>
      </c>
      <c r="B280" s="15" t="s">
        <v>1015</v>
      </c>
      <c r="C280" s="15" t="s">
        <v>1345</v>
      </c>
      <c r="D280" s="15" t="s">
        <v>350</v>
      </c>
      <c r="E280" s="15" t="s">
        <v>1058</v>
      </c>
      <c r="F280" s="15" t="s">
        <v>1346</v>
      </c>
      <c r="G280" s="15" t="n">
        <v>5</v>
      </c>
      <c r="H280" s="15" t="n">
        <v>3</v>
      </c>
      <c r="I280" s="15" t="n">
        <f aca="false">IF(AND(ISNUMBER(G280),ISNUMBER(H280)),G280*2-H280,"")</f>
        <v>7</v>
      </c>
      <c r="J280" s="15" t="s">
        <v>1010</v>
      </c>
      <c r="K280" s="15" t="s">
        <v>1011</v>
      </c>
      <c r="L280" s="15" t="s">
        <v>1347</v>
      </c>
      <c r="M280" s="15" t="s">
        <v>602</v>
      </c>
      <c r="N280" s="15" t="str">
        <f aca="false">IF(M280="","Not built (workbook: do not build)",IFERROR(INDEX(Pages!$F$2:$F$98,MATCH(M280,Pages!$B$2:$B$98,0)),"Not found"))</f>
        <v>Mortgage Investing in the GTA: Rules, Risks and Access</v>
      </c>
      <c r="O280" s="15" t="s">
        <v>113</v>
      </c>
      <c r="P280" s="16"/>
      <c r="Q280" s="16"/>
      <c r="R280" s="16"/>
      <c r="S280" s="16"/>
      <c r="T280" s="15" t="s">
        <v>1348</v>
      </c>
    </row>
    <row r="281" customFormat="false" ht="15" hidden="false" customHeight="false" outlineLevel="0" collapsed="false">
      <c r="A281" s="15" t="s">
        <v>606</v>
      </c>
      <c r="B281" s="15" t="s">
        <v>1015</v>
      </c>
      <c r="C281" s="15" t="s">
        <v>1345</v>
      </c>
      <c r="D281" s="15" t="s">
        <v>350</v>
      </c>
      <c r="E281" s="15" t="s">
        <v>1058</v>
      </c>
      <c r="F281" s="15" t="s">
        <v>1346</v>
      </c>
      <c r="G281" s="15" t="n">
        <v>4</v>
      </c>
      <c r="H281" s="15" t="n">
        <v>2</v>
      </c>
      <c r="I281" s="15" t="n">
        <f aca="false">IF(AND(ISNUMBER(G281),ISNUMBER(H281)),G281*2-H281,"")</f>
        <v>6</v>
      </c>
      <c r="J281" s="15" t="s">
        <v>1010</v>
      </c>
      <c r="K281" s="15" t="s">
        <v>1011</v>
      </c>
      <c r="L281" s="15" t="s">
        <v>1347</v>
      </c>
      <c r="M281" s="15" t="s">
        <v>602</v>
      </c>
      <c r="N281" s="15" t="str">
        <f aca="false">IF(M281="","Not built (workbook: do not build)",IFERROR(INDEX(Pages!$F$2:$F$98,MATCH(M281,Pages!$B$2:$B$98,0)),"Not found"))</f>
        <v>Mortgage Investing in the GTA: Rules, Risks and Access</v>
      </c>
      <c r="O281" s="15" t="s">
        <v>113</v>
      </c>
      <c r="P281" s="16"/>
      <c r="Q281" s="16"/>
      <c r="R281" s="16"/>
      <c r="S281" s="16"/>
      <c r="T281" s="15" t="s">
        <v>1349</v>
      </c>
    </row>
    <row r="282" customFormat="false" ht="15" hidden="false" customHeight="false" outlineLevel="0" collapsed="false">
      <c r="A282" s="15" t="s">
        <v>1350</v>
      </c>
      <c r="B282" s="15" t="s">
        <v>1022</v>
      </c>
      <c r="C282" s="15" t="s">
        <v>1345</v>
      </c>
      <c r="D282" s="15" t="s">
        <v>350</v>
      </c>
      <c r="E282" s="15" t="s">
        <v>1058</v>
      </c>
      <c r="F282" s="15" t="s">
        <v>1346</v>
      </c>
      <c r="G282" s="15" t="n">
        <v>4</v>
      </c>
      <c r="H282" s="15" t="n">
        <v>1</v>
      </c>
      <c r="I282" s="15" t="n">
        <f aca="false">IF(AND(ISNUMBER(G282),ISNUMBER(H282)),G282*2-H282,"")</f>
        <v>7</v>
      </c>
      <c r="J282" s="15" t="s">
        <v>1010</v>
      </c>
      <c r="K282" s="15" t="s">
        <v>1011</v>
      </c>
      <c r="L282" s="15" t="s">
        <v>1347</v>
      </c>
      <c r="M282" s="15" t="s">
        <v>602</v>
      </c>
      <c r="N282" s="15" t="str">
        <f aca="false">IF(M282="","Not built (workbook: do not build)",IFERROR(INDEX(Pages!$F$2:$F$98,MATCH(M282,Pages!$B$2:$B$98,0)),"Not found"))</f>
        <v>Mortgage Investing in the GTA: Rules, Risks and Access</v>
      </c>
      <c r="O282" s="15" t="s">
        <v>113</v>
      </c>
      <c r="P282" s="16"/>
      <c r="Q282" s="16"/>
      <c r="R282" s="16"/>
      <c r="S282" s="16"/>
      <c r="T282" s="15" t="s">
        <v>1349</v>
      </c>
    </row>
    <row r="283" customFormat="false" ht="15" hidden="false" customHeight="false" outlineLevel="0" collapsed="false">
      <c r="A283" s="15" t="s">
        <v>615</v>
      </c>
      <c r="B283" s="15" t="s">
        <v>1015</v>
      </c>
      <c r="C283" s="15" t="s">
        <v>1345</v>
      </c>
      <c r="D283" s="15" t="s">
        <v>350</v>
      </c>
      <c r="E283" s="15" t="s">
        <v>1058</v>
      </c>
      <c r="F283" s="15" t="s">
        <v>1351</v>
      </c>
      <c r="G283" s="15" t="n">
        <v>3</v>
      </c>
      <c r="H283" s="15" t="n">
        <v>1</v>
      </c>
      <c r="I283" s="15" t="n">
        <f aca="false">IF(AND(ISNUMBER(G283),ISNUMBER(H283)),G283*2-H283,"")</f>
        <v>5</v>
      </c>
      <c r="J283" s="15" t="s">
        <v>1019</v>
      </c>
      <c r="K283" s="15" t="s">
        <v>1020</v>
      </c>
      <c r="L283" s="15" t="s">
        <v>1352</v>
      </c>
      <c r="M283" s="15" t="s">
        <v>611</v>
      </c>
      <c r="N283" s="15" t="str">
        <f aca="false">IF(M283="","Not built (workbook: do not build)",IFERROR(INDEX(Pages!$F$2:$F$98,MATCH(M283,Pages!$B$2:$B$98,0)),"Not found"))</f>
        <v>Mortgage Investing in Ottawa and the NCR | Lendmax Capital MIC</v>
      </c>
      <c r="O283" s="15" t="s">
        <v>113</v>
      </c>
      <c r="P283" s="16"/>
      <c r="Q283" s="16"/>
      <c r="R283" s="16"/>
      <c r="S283" s="16"/>
      <c r="T283" s="15" t="s">
        <v>1353</v>
      </c>
    </row>
    <row r="284" customFormat="false" ht="15" hidden="false" customHeight="false" outlineLevel="0" collapsed="false">
      <c r="A284" s="15" t="s">
        <v>1354</v>
      </c>
      <c r="B284" s="15" t="s">
        <v>1015</v>
      </c>
      <c r="C284" s="15" t="s">
        <v>1345</v>
      </c>
      <c r="D284" s="15" t="s">
        <v>350</v>
      </c>
      <c r="E284" s="15" t="s">
        <v>1058</v>
      </c>
      <c r="F284" s="15" t="s">
        <v>1355</v>
      </c>
      <c r="G284" s="15" t="n">
        <v>4</v>
      </c>
      <c r="H284" s="15" t="n">
        <v>2</v>
      </c>
      <c r="I284" s="15" t="n">
        <f aca="false">IF(AND(ISNUMBER(G284),ISNUMBER(H284)),G284*2-H284,"")</f>
        <v>6</v>
      </c>
      <c r="J284" s="15" t="s">
        <v>1010</v>
      </c>
      <c r="K284" s="15" t="s">
        <v>1011</v>
      </c>
      <c r="L284" s="15" t="s">
        <v>1356</v>
      </c>
      <c r="M284" s="15" t="s">
        <v>567</v>
      </c>
      <c r="N284" s="15" t="str">
        <f aca="false">IF(M284="","Not built (workbook: do not build)",IFERROR(INDEX(Pages!$F$2:$F$98,MATCH(M284,Pages!$B$2:$B$98,0)),"Not found"))</f>
        <v>Mortgage Investing in British Columbia: 2026 Guide</v>
      </c>
      <c r="O284" s="15" t="s">
        <v>113</v>
      </c>
      <c r="P284" s="16"/>
      <c r="Q284" s="16"/>
      <c r="R284" s="16"/>
      <c r="S284" s="16"/>
      <c r="T284" s="15" t="s">
        <v>1357</v>
      </c>
    </row>
    <row r="285" customFormat="false" ht="15" hidden="false" customHeight="false" outlineLevel="0" collapsed="false">
      <c r="A285" s="15" t="s">
        <v>1358</v>
      </c>
      <c r="B285" s="15" t="s">
        <v>1015</v>
      </c>
      <c r="C285" s="15" t="s">
        <v>1345</v>
      </c>
      <c r="D285" s="15" t="s">
        <v>350</v>
      </c>
      <c r="E285" s="15" t="s">
        <v>1058</v>
      </c>
      <c r="F285" s="15" t="s">
        <v>1359</v>
      </c>
      <c r="G285" s="15" t="n">
        <v>3</v>
      </c>
      <c r="H285" s="15" t="n">
        <v>1</v>
      </c>
      <c r="I285" s="15" t="n">
        <f aca="false">IF(AND(ISNUMBER(G285),ISNUMBER(H285)),G285*2-H285,"")</f>
        <v>5</v>
      </c>
      <c r="J285" s="15" t="s">
        <v>1019</v>
      </c>
      <c r="K285" s="15" t="s">
        <v>1020</v>
      </c>
      <c r="L285" s="15" t="s">
        <v>1360</v>
      </c>
      <c r="M285" s="15" t="s">
        <v>557</v>
      </c>
      <c r="N285" s="15" t="str">
        <f aca="false">IF(M285="","Not built (workbook: do not build)",IFERROR(INDEX(Pages!$F$2:$F$98,MATCH(M285,Pages!$B$2:$B$98,0)),"Not found"))</f>
        <v>Mortgage Investing in Alberta: Rules and Enforcement</v>
      </c>
      <c r="O285" s="15" t="s">
        <v>113</v>
      </c>
      <c r="P285" s="16"/>
      <c r="Q285" s="16"/>
      <c r="R285" s="16"/>
      <c r="S285" s="16"/>
      <c r="T285" s="15" t="s">
        <v>1361</v>
      </c>
    </row>
    <row r="286" customFormat="false" ht="15" hidden="false" customHeight="false" outlineLevel="0" collapsed="false">
      <c r="A286" s="15" t="s">
        <v>1362</v>
      </c>
      <c r="B286" s="15" t="s">
        <v>1015</v>
      </c>
      <c r="C286" s="15" t="s">
        <v>1345</v>
      </c>
      <c r="D286" s="15" t="s">
        <v>350</v>
      </c>
      <c r="E286" s="15" t="s">
        <v>1058</v>
      </c>
      <c r="F286" s="15" t="s">
        <v>1363</v>
      </c>
      <c r="G286" s="15" t="n">
        <v>2</v>
      </c>
      <c r="H286" s="15" t="n">
        <v>1</v>
      </c>
      <c r="I286" s="15" t="n">
        <f aca="false">IF(AND(ISNUMBER(G286),ISNUMBER(H286)),G286*2-H286,"")</f>
        <v>3</v>
      </c>
      <c r="J286" s="15" t="s">
        <v>1115</v>
      </c>
      <c r="K286" s="15" t="s">
        <v>1148</v>
      </c>
      <c r="L286" s="15" t="s">
        <v>1360</v>
      </c>
      <c r="M286" s="15" t="s">
        <v>557</v>
      </c>
      <c r="N286" s="15" t="str">
        <f aca="false">IF(M286="","Not built (workbook: do not build)",IFERROR(INDEX(Pages!$F$2:$F$98,MATCH(M286,Pages!$B$2:$B$98,0)),"Not found"))</f>
        <v>Mortgage Investing in Alberta: Rules and Enforcement</v>
      </c>
      <c r="O286" s="15" t="s">
        <v>113</v>
      </c>
      <c r="P286" s="16"/>
      <c r="Q286" s="16"/>
      <c r="R286" s="16"/>
      <c r="S286" s="16"/>
      <c r="T286" s="15" t="s">
        <v>1361</v>
      </c>
    </row>
    <row r="287" customFormat="false" ht="15" hidden="false" customHeight="false" outlineLevel="0" collapsed="false">
      <c r="A287" s="15" t="s">
        <v>1364</v>
      </c>
      <c r="B287" s="15" t="s">
        <v>1022</v>
      </c>
      <c r="C287" s="15" t="s">
        <v>1345</v>
      </c>
      <c r="D287" s="15" t="s">
        <v>350</v>
      </c>
      <c r="E287" s="15" t="s">
        <v>1058</v>
      </c>
      <c r="F287" s="15" t="s">
        <v>1365</v>
      </c>
      <c r="G287" s="15" t="n">
        <v>2</v>
      </c>
      <c r="H287" s="15" t="n">
        <v>1</v>
      </c>
      <c r="I287" s="15" t="n">
        <f aca="false">IF(AND(ISNUMBER(G287),ISNUMBER(H287)),G287*2-H287,"")</f>
        <v>3</v>
      </c>
      <c r="J287" s="15" t="s">
        <v>1115</v>
      </c>
      <c r="K287" s="15" t="s">
        <v>1148</v>
      </c>
      <c r="L287" s="15" t="s">
        <v>1356</v>
      </c>
      <c r="M287" s="15" t="s">
        <v>567</v>
      </c>
      <c r="N287" s="15" t="str">
        <f aca="false">IF(M287="","Not built (workbook: do not build)",IFERROR(INDEX(Pages!$F$2:$F$98,MATCH(M287,Pages!$B$2:$B$98,0)),"Not found"))</f>
        <v>Mortgage Investing in British Columbia: 2026 Guide</v>
      </c>
      <c r="O287" s="15" t="s">
        <v>113</v>
      </c>
      <c r="P287" s="16"/>
      <c r="Q287" s="16"/>
      <c r="R287" s="16"/>
      <c r="S287" s="16"/>
      <c r="T287" s="15" t="s">
        <v>1357</v>
      </c>
    </row>
    <row r="288" customFormat="false" ht="15" hidden="false" customHeight="false" outlineLevel="0" collapsed="false">
      <c r="A288" s="15" t="s">
        <v>1366</v>
      </c>
      <c r="B288" s="15" t="s">
        <v>1015</v>
      </c>
      <c r="C288" s="15" t="s">
        <v>1345</v>
      </c>
      <c r="D288" s="15" t="s">
        <v>350</v>
      </c>
      <c r="E288" s="15" t="s">
        <v>1058</v>
      </c>
      <c r="F288" s="15" t="s">
        <v>1367</v>
      </c>
      <c r="G288" s="15" t="n">
        <v>2</v>
      </c>
      <c r="H288" s="15" t="n">
        <v>1</v>
      </c>
      <c r="I288" s="15" t="n">
        <f aca="false">IF(AND(ISNUMBER(G288),ISNUMBER(H288)),G288*2-H288,"")</f>
        <v>3</v>
      </c>
      <c r="J288" s="15" t="s">
        <v>1115</v>
      </c>
      <c r="K288" s="15" t="s">
        <v>1148</v>
      </c>
      <c r="L288" s="15" t="s">
        <v>1368</v>
      </c>
      <c r="M288" s="15" t="s">
        <v>629</v>
      </c>
      <c r="N288" s="15" t="str">
        <f aca="false">IF(M288="","Not built (workbook: do not build)",IFERROR(INDEX(Pages!$F$2:$F$98,MATCH(M288,Pages!$B$2:$B$98,0)),"Not found"))</f>
        <v>Mortgage Investing in Quebec, Prairies and Atlantic Canada</v>
      </c>
      <c r="O288" s="15" t="s">
        <v>113</v>
      </c>
      <c r="P288" s="16"/>
      <c r="Q288" s="16"/>
      <c r="R288" s="16"/>
      <c r="S288" s="16"/>
      <c r="T288" s="15" t="s">
        <v>1369</v>
      </c>
    </row>
    <row r="289" customFormat="false" ht="15" hidden="false" customHeight="false" outlineLevel="0" collapsed="false">
      <c r="A289" s="15" t="s">
        <v>1370</v>
      </c>
      <c r="B289" s="15" t="s">
        <v>1015</v>
      </c>
      <c r="C289" s="15" t="s">
        <v>1345</v>
      </c>
      <c r="D289" s="15" t="s">
        <v>350</v>
      </c>
      <c r="E289" s="15" t="s">
        <v>1058</v>
      </c>
      <c r="F289" s="15" t="s">
        <v>1371</v>
      </c>
      <c r="G289" s="15" t="n">
        <v>1</v>
      </c>
      <c r="H289" s="15" t="n">
        <v>1</v>
      </c>
      <c r="I289" s="15" t="n">
        <f aca="false">IF(AND(ISNUMBER(G289),ISNUMBER(H289)),G289*2-H289,"")</f>
        <v>1</v>
      </c>
      <c r="J289" s="15" t="s">
        <v>1115</v>
      </c>
      <c r="K289" s="15" t="s">
        <v>1148</v>
      </c>
      <c r="L289" s="15" t="s">
        <v>157</v>
      </c>
      <c r="M289" s="15"/>
      <c r="N289" s="15" t="str">
        <f aca="false">IF(M289="","Not built (workbook: do not build)",IFERROR(INDEX(Pages!$F$2:$F$98,MATCH(M289,Pages!$B$2:$B$98,0)),"Not found"))</f>
        <v>Not built (workbook: do not build)</v>
      </c>
      <c r="O289" s="15" t="s">
        <v>157</v>
      </c>
      <c r="P289" s="16"/>
      <c r="Q289" s="16"/>
      <c r="R289" s="16"/>
      <c r="S289" s="16"/>
      <c r="T289" s="15" t="s">
        <v>1337</v>
      </c>
    </row>
    <row r="290" customFormat="false" ht="15" hidden="false" customHeight="false" outlineLevel="0" collapsed="false">
      <c r="A290" s="15" t="s">
        <v>1372</v>
      </c>
      <c r="B290" s="15" t="s">
        <v>1015</v>
      </c>
      <c r="C290" s="15" t="s">
        <v>1345</v>
      </c>
      <c r="D290" s="15" t="s">
        <v>350</v>
      </c>
      <c r="E290" s="15" t="s">
        <v>1027</v>
      </c>
      <c r="F290" s="15" t="s">
        <v>1346</v>
      </c>
      <c r="G290" s="15" t="n">
        <v>2</v>
      </c>
      <c r="H290" s="15" t="n">
        <v>5</v>
      </c>
      <c r="I290" s="15" t="n">
        <f aca="false">IF(AND(ISNUMBER(G290),ISNUMBER(H290)),G290*2-H290,"")</f>
        <v>-1</v>
      </c>
      <c r="J290" s="15" t="s">
        <v>1115</v>
      </c>
      <c r="K290" s="15" t="s">
        <v>1148</v>
      </c>
      <c r="L290" s="15" t="s">
        <v>157</v>
      </c>
      <c r="M290" s="15"/>
      <c r="N290" s="15" t="str">
        <f aca="false">IF(M290="","Not built (workbook: do not build)",IFERROR(INDEX(Pages!$F$2:$F$98,MATCH(M290,Pages!$B$2:$B$98,0)),"Not found"))</f>
        <v>Not built (workbook: do not build)</v>
      </c>
      <c r="O290" s="15" t="s">
        <v>157</v>
      </c>
      <c r="P290" s="16"/>
      <c r="Q290" s="16"/>
      <c r="R290" s="16"/>
      <c r="S290" s="16"/>
      <c r="T290" s="15" t="s">
        <v>1373</v>
      </c>
    </row>
    <row r="291" customFormat="false" ht="15" hidden="false" customHeight="false" outlineLevel="0" collapsed="false">
      <c r="A291" s="15" t="s">
        <v>1374</v>
      </c>
      <c r="B291" s="15" t="s">
        <v>1015</v>
      </c>
      <c r="C291" s="15" t="s">
        <v>1345</v>
      </c>
      <c r="D291" s="15" t="s">
        <v>350</v>
      </c>
      <c r="E291" s="15" t="s">
        <v>1027</v>
      </c>
      <c r="F291" s="15" t="s">
        <v>1375</v>
      </c>
      <c r="G291" s="15" t="n">
        <v>1</v>
      </c>
      <c r="H291" s="15" t="n">
        <v>4</v>
      </c>
      <c r="I291" s="15" t="n">
        <f aca="false">IF(AND(ISNUMBER(G291),ISNUMBER(H291)),G291*2-H291,"")</f>
        <v>-2</v>
      </c>
      <c r="J291" s="15" t="s">
        <v>1115</v>
      </c>
      <c r="K291" s="15" t="s">
        <v>1148</v>
      </c>
      <c r="L291" s="15" t="s">
        <v>157</v>
      </c>
      <c r="M291" s="15"/>
      <c r="N291" s="15" t="str">
        <f aca="false">IF(M291="","Not built (workbook: do not build)",IFERROR(INDEX(Pages!$F$2:$F$98,MATCH(M291,Pages!$B$2:$B$98,0)),"Not found"))</f>
        <v>Not built (workbook: do not build)</v>
      </c>
      <c r="O291" s="15" t="s">
        <v>157</v>
      </c>
      <c r="P291" s="16"/>
      <c r="Q291" s="16"/>
      <c r="R291" s="16"/>
      <c r="S291" s="16"/>
      <c r="T291" s="15" t="s">
        <v>1337</v>
      </c>
    </row>
    <row r="292" customFormat="false" ht="15" hidden="false" customHeight="false" outlineLevel="0" collapsed="false">
      <c r="A292" s="15" t="s">
        <v>1376</v>
      </c>
      <c r="B292" s="15" t="s">
        <v>1015</v>
      </c>
      <c r="C292" s="15" t="s">
        <v>1345</v>
      </c>
      <c r="D292" s="15" t="s">
        <v>350</v>
      </c>
      <c r="E292" s="15" t="s">
        <v>1027</v>
      </c>
      <c r="F292" s="15" t="s">
        <v>1377</v>
      </c>
      <c r="G292" s="15" t="n">
        <v>1</v>
      </c>
      <c r="H292" s="15" t="n">
        <v>4</v>
      </c>
      <c r="I292" s="15" t="n">
        <f aca="false">IF(AND(ISNUMBER(G292),ISNUMBER(H292)),G292*2-H292,"")</f>
        <v>-2</v>
      </c>
      <c r="J292" s="15" t="s">
        <v>1115</v>
      </c>
      <c r="K292" s="15" t="s">
        <v>1148</v>
      </c>
      <c r="L292" s="15" t="s">
        <v>157</v>
      </c>
      <c r="M292" s="15"/>
      <c r="N292" s="15" t="str">
        <f aca="false">IF(M292="","Not built (workbook: do not build)",IFERROR(INDEX(Pages!$F$2:$F$98,MATCH(M292,Pages!$B$2:$B$98,0)),"Not found"))</f>
        <v>Not built (workbook: do not build)</v>
      </c>
      <c r="O292" s="15" t="s">
        <v>157</v>
      </c>
      <c r="P292" s="16"/>
      <c r="Q292" s="16"/>
      <c r="R292" s="16"/>
      <c r="S292" s="16"/>
      <c r="T292" s="15" t="s">
        <v>1337</v>
      </c>
    </row>
    <row r="293" customFormat="false" ht="15" hidden="false" customHeight="false" outlineLevel="0" collapsed="false">
      <c r="A293" s="15" t="s">
        <v>1378</v>
      </c>
      <c r="B293" s="15" t="s">
        <v>1015</v>
      </c>
      <c r="C293" s="15" t="s">
        <v>1345</v>
      </c>
      <c r="D293" s="15" t="s">
        <v>350</v>
      </c>
      <c r="E293" s="15" t="s">
        <v>1027</v>
      </c>
      <c r="F293" s="15" t="s">
        <v>1379</v>
      </c>
      <c r="G293" s="15" t="n">
        <v>1</v>
      </c>
      <c r="H293" s="15" t="n">
        <v>4</v>
      </c>
      <c r="I293" s="15" t="n">
        <f aca="false">IF(AND(ISNUMBER(G293),ISNUMBER(H293)),G293*2-H293,"")</f>
        <v>-2</v>
      </c>
      <c r="J293" s="15" t="s">
        <v>1115</v>
      </c>
      <c r="K293" s="15" t="s">
        <v>1148</v>
      </c>
      <c r="L293" s="15" t="s">
        <v>157</v>
      </c>
      <c r="M293" s="15"/>
      <c r="N293" s="15" t="str">
        <f aca="false">IF(M293="","Not built (workbook: do not build)",IFERROR(INDEX(Pages!$F$2:$F$98,MATCH(M293,Pages!$B$2:$B$98,0)),"Not found"))</f>
        <v>Not built (workbook: do not build)</v>
      </c>
      <c r="O293" s="15" t="s">
        <v>157</v>
      </c>
      <c r="P293" s="16"/>
      <c r="Q293" s="16"/>
      <c r="R293" s="16"/>
      <c r="S293" s="16"/>
      <c r="T293" s="15" t="s">
        <v>1337</v>
      </c>
    </row>
    <row r="294" customFormat="false" ht="15" hidden="false" customHeight="false" outlineLevel="0" collapsed="false">
      <c r="A294" s="15" t="s">
        <v>1380</v>
      </c>
      <c r="B294" s="15" t="s">
        <v>1022</v>
      </c>
      <c r="C294" s="15" t="s">
        <v>1345</v>
      </c>
      <c r="D294" s="15" t="s">
        <v>350</v>
      </c>
      <c r="E294" s="15" t="s">
        <v>1058</v>
      </c>
      <c r="F294" s="15" t="s">
        <v>1381</v>
      </c>
      <c r="G294" s="15" t="n">
        <v>2</v>
      </c>
      <c r="H294" s="15" t="n">
        <v>1</v>
      </c>
      <c r="I294" s="15" t="n">
        <f aca="false">IF(AND(ISNUMBER(G294),ISNUMBER(H294)),G294*2-H294,"")</f>
        <v>3</v>
      </c>
      <c r="J294" s="15" t="s">
        <v>1115</v>
      </c>
      <c r="K294" s="15" t="s">
        <v>1148</v>
      </c>
      <c r="L294" s="15" t="s">
        <v>1382</v>
      </c>
      <c r="M294" s="15" t="s">
        <v>629</v>
      </c>
      <c r="N294" s="15" t="str">
        <f aca="false">IF(M294="","Not built (workbook: do not build)",IFERROR(INDEX(Pages!$F$2:$F$98,MATCH(M294,Pages!$B$2:$B$98,0)),"Not found"))</f>
        <v>Mortgage Investing in Quebec, Prairies and Atlantic Canada</v>
      </c>
      <c r="O294" s="15" t="s">
        <v>113</v>
      </c>
      <c r="P294" s="16"/>
      <c r="Q294" s="16"/>
      <c r="R294" s="16"/>
      <c r="S294" s="16"/>
      <c r="T294" s="15" t="s">
        <v>1328</v>
      </c>
    </row>
    <row r="295" customFormat="false" ht="15" hidden="false" customHeight="false" outlineLevel="0" collapsed="false">
      <c r="A295" s="15" t="s">
        <v>1383</v>
      </c>
      <c r="B295" s="15" t="s">
        <v>1022</v>
      </c>
      <c r="C295" s="15" t="s">
        <v>1345</v>
      </c>
      <c r="D295" s="15" t="s">
        <v>350</v>
      </c>
      <c r="E295" s="15" t="s">
        <v>1058</v>
      </c>
      <c r="F295" s="15" t="s">
        <v>1384</v>
      </c>
      <c r="G295" s="15" t="n">
        <v>2</v>
      </c>
      <c r="H295" s="15" t="n">
        <v>1</v>
      </c>
      <c r="I295" s="15" t="n">
        <f aca="false">IF(AND(ISNUMBER(G295),ISNUMBER(H295)),G295*2-H295,"")</f>
        <v>3</v>
      </c>
      <c r="J295" s="15" t="s">
        <v>1115</v>
      </c>
      <c r="K295" s="15" t="s">
        <v>1148</v>
      </c>
      <c r="L295" s="15" t="s">
        <v>1382</v>
      </c>
      <c r="M295" s="15" t="s">
        <v>629</v>
      </c>
      <c r="N295" s="15" t="str">
        <f aca="false">IF(M295="","Not built (workbook: do not build)",IFERROR(INDEX(Pages!$F$2:$F$98,MATCH(M295,Pages!$B$2:$B$98,0)),"Not found"))</f>
        <v>Mortgage Investing in Quebec, Prairies and Atlantic Canada</v>
      </c>
      <c r="O295" s="15" t="s">
        <v>113</v>
      </c>
      <c r="P295" s="16"/>
      <c r="Q295" s="16"/>
      <c r="R295" s="16"/>
      <c r="S295" s="16"/>
      <c r="T295" s="15" t="s">
        <v>1328</v>
      </c>
    </row>
    <row r="296" customFormat="false" ht="15" hidden="false" customHeight="false" outlineLevel="0" collapsed="false">
      <c r="A296" s="15" t="s">
        <v>133</v>
      </c>
      <c r="B296" s="15" t="s">
        <v>1054</v>
      </c>
      <c r="C296" s="15" t="s">
        <v>1385</v>
      </c>
      <c r="D296" s="15" t="s">
        <v>1007</v>
      </c>
      <c r="E296" s="15" t="s">
        <v>1023</v>
      </c>
      <c r="F296" s="15" t="s">
        <v>1009</v>
      </c>
      <c r="G296" s="15" t="n">
        <v>5</v>
      </c>
      <c r="H296" s="15" t="n">
        <v>2</v>
      </c>
      <c r="I296" s="15" t="n">
        <f aca="false">IF(AND(ISNUMBER(G296),ISNUMBER(H296)),G296*2-H296,"")</f>
        <v>8</v>
      </c>
      <c r="J296" s="15" t="s">
        <v>1047</v>
      </c>
      <c r="K296" s="15" t="s">
        <v>1011</v>
      </c>
      <c r="L296" s="15" t="s">
        <v>1088</v>
      </c>
      <c r="M296" s="15" t="s">
        <v>125</v>
      </c>
      <c r="N296" s="15" t="str">
        <f aca="false">IF(M296="","Not built (workbook: do not build)",IFERROR(INDEX(Pages!$F$2:$F$98,MATCH(M296,Pages!$B$2:$B$98,0)),"Not found"))</f>
        <v>How to Start Investing in Mortgages: Step by Step</v>
      </c>
      <c r="O296" s="15" t="s">
        <v>113</v>
      </c>
      <c r="P296" s="16"/>
      <c r="Q296" s="16"/>
      <c r="R296" s="16"/>
      <c r="S296" s="16"/>
      <c r="T296" s="15"/>
    </row>
    <row r="297" customFormat="false" ht="15" hidden="false" customHeight="false" outlineLevel="0" collapsed="false">
      <c r="A297" s="15" t="s">
        <v>1386</v>
      </c>
      <c r="B297" s="15" t="s">
        <v>1054</v>
      </c>
      <c r="C297" s="15" t="s">
        <v>1385</v>
      </c>
      <c r="D297" s="15" t="s">
        <v>1007</v>
      </c>
      <c r="E297" s="15" t="s">
        <v>1023</v>
      </c>
      <c r="F297" s="15" t="s">
        <v>1009</v>
      </c>
      <c r="G297" s="15" t="n">
        <v>5</v>
      </c>
      <c r="H297" s="15" t="n">
        <v>2</v>
      </c>
      <c r="I297" s="15" t="n">
        <f aca="false">IF(AND(ISNUMBER(G297),ISNUMBER(H297)),G297*2-H297,"")</f>
        <v>8</v>
      </c>
      <c r="J297" s="15" t="s">
        <v>1047</v>
      </c>
      <c r="K297" s="15" t="s">
        <v>1011</v>
      </c>
      <c r="L297" s="15" t="s">
        <v>1052</v>
      </c>
      <c r="M297" s="15" t="s">
        <v>322</v>
      </c>
      <c r="N297" s="15" t="str">
        <f aca="false">IF(M297="","Not built (workbook: do not build)",IFERROR(INDEX(Pages!$F$2:$F$98,MATCH(M297,Pages!$B$2:$B$98,0)),"Not found"))</f>
        <v>Direct Mortgage Investing: Holding the Charge Yourself</v>
      </c>
      <c r="O297" s="15" t="s">
        <v>113</v>
      </c>
      <c r="P297" s="16"/>
      <c r="Q297" s="16"/>
      <c r="R297" s="16"/>
      <c r="S297" s="16"/>
      <c r="T297" s="15"/>
    </row>
    <row r="298" customFormat="false" ht="15" hidden="false" customHeight="false" outlineLevel="0" collapsed="false">
      <c r="A298" s="15" t="s">
        <v>582</v>
      </c>
      <c r="B298" s="15" t="s">
        <v>1054</v>
      </c>
      <c r="C298" s="15" t="s">
        <v>1385</v>
      </c>
      <c r="D298" s="15" t="s">
        <v>1007</v>
      </c>
      <c r="E298" s="15" t="s">
        <v>1023</v>
      </c>
      <c r="F298" s="15" t="s">
        <v>1009</v>
      </c>
      <c r="G298" s="15" t="n">
        <v>4</v>
      </c>
      <c r="H298" s="15" t="n">
        <v>1</v>
      </c>
      <c r="I298" s="15" t="n">
        <f aca="false">IF(AND(ISNUMBER(G298),ISNUMBER(H298)),G298*2-H298,"")</f>
        <v>7</v>
      </c>
      <c r="J298" s="15" t="s">
        <v>1010</v>
      </c>
      <c r="K298" s="15" t="s">
        <v>1011</v>
      </c>
      <c r="L298" s="15" t="s">
        <v>1025</v>
      </c>
      <c r="M298" s="15" t="s">
        <v>576</v>
      </c>
      <c r="N298" s="15" t="str">
        <f aca="false">IF(M298="","Not built (workbook: do not build)",IFERROR(INDEX(Pages!$F$2:$F$98,MATCH(M298,Pages!$B$2:$B$98,0)),"Not found"))</f>
        <v>Mortgage Investing for Beginners in Canada | Lendmax Capital MIC</v>
      </c>
      <c r="O298" s="15" t="s">
        <v>113</v>
      </c>
      <c r="P298" s="16"/>
      <c r="Q298" s="16"/>
      <c r="R298" s="16"/>
      <c r="S298" s="16"/>
      <c r="T298" s="15"/>
    </row>
    <row r="299" customFormat="false" ht="15" hidden="false" customHeight="false" outlineLevel="0" collapsed="false">
      <c r="A299" s="15" t="s">
        <v>528</v>
      </c>
      <c r="B299" s="15" t="s">
        <v>1054</v>
      </c>
      <c r="C299" s="15" t="s">
        <v>1385</v>
      </c>
      <c r="D299" s="15" t="s">
        <v>1007</v>
      </c>
      <c r="E299" s="15" t="s">
        <v>1023</v>
      </c>
      <c r="F299" s="15" t="s">
        <v>1009</v>
      </c>
      <c r="G299" s="15" t="n">
        <v>4</v>
      </c>
      <c r="H299" s="15" t="n">
        <v>1</v>
      </c>
      <c r="I299" s="15" t="n">
        <f aca="false">IF(AND(ISNUMBER(G299),ISNUMBER(H299)),G299*2-H299,"")</f>
        <v>7</v>
      </c>
      <c r="J299" s="15" t="s">
        <v>1010</v>
      </c>
      <c r="K299" s="15" t="s">
        <v>1011</v>
      </c>
      <c r="L299" s="15" t="s">
        <v>1059</v>
      </c>
      <c r="M299" s="15" t="s">
        <v>522</v>
      </c>
      <c r="N299" s="15" t="str">
        <f aca="false">IF(M299="","Not built (workbook: do not build)",IFERROR(INDEX(Pages!$F$2:$F$98,MATCH(M299,Pages!$B$2:$B$98,0)),"Not found"))</f>
        <v>Monthly Income Investments in Canada: Mortgage Cash Flow</v>
      </c>
      <c r="O299" s="15" t="s">
        <v>113</v>
      </c>
      <c r="P299" s="16"/>
      <c r="Q299" s="16"/>
      <c r="R299" s="16"/>
      <c r="S299" s="16"/>
      <c r="T299" s="15"/>
    </row>
    <row r="300" customFormat="false" ht="15" hidden="false" customHeight="false" outlineLevel="0" collapsed="false">
      <c r="A300" s="15" t="s">
        <v>1387</v>
      </c>
      <c r="B300" s="15" t="s">
        <v>1054</v>
      </c>
      <c r="C300" s="15" t="s">
        <v>1385</v>
      </c>
      <c r="D300" s="15" t="s">
        <v>1007</v>
      </c>
      <c r="E300" s="15" t="s">
        <v>1023</v>
      </c>
      <c r="F300" s="15" t="s">
        <v>1009</v>
      </c>
      <c r="G300" s="15" t="n">
        <v>5</v>
      </c>
      <c r="H300" s="15" t="n">
        <v>1</v>
      </c>
      <c r="I300" s="15" t="n">
        <f aca="false">IF(AND(ISNUMBER(G300),ISNUMBER(H300)),G300*2-H300,"")</f>
        <v>9</v>
      </c>
      <c r="J300" s="15" t="s">
        <v>1047</v>
      </c>
      <c r="K300" s="15" t="s">
        <v>1011</v>
      </c>
      <c r="L300" s="15" t="s">
        <v>1085</v>
      </c>
      <c r="M300" s="15" t="s">
        <v>450</v>
      </c>
      <c r="N300" s="15" t="str">
        <f aca="false">IF(M300="","Not built (workbook: do not build)",IFERROR(INDEX(Pages!$F$2:$F$98,MATCH(M300,Pages!$B$2:$B$98,0)),"Not found"))</f>
        <v>Liquidity Risk in a Mortgage Investment: Redemption</v>
      </c>
      <c r="O300" s="15" t="s">
        <v>113</v>
      </c>
      <c r="P300" s="16"/>
      <c r="Q300" s="16"/>
      <c r="R300" s="16"/>
      <c r="S300" s="16"/>
      <c r="T300" s="15"/>
    </row>
    <row r="301" customFormat="false" ht="23.85" hidden="false" customHeight="false" outlineLevel="0" collapsed="false">
      <c r="A301" s="15" t="s">
        <v>1388</v>
      </c>
      <c r="B301" s="15" t="s">
        <v>1054</v>
      </c>
      <c r="C301" s="15" t="s">
        <v>1385</v>
      </c>
      <c r="D301" s="15" t="s">
        <v>1007</v>
      </c>
      <c r="E301" s="15" t="s">
        <v>1023</v>
      </c>
      <c r="F301" s="15" t="s">
        <v>1009</v>
      </c>
      <c r="G301" s="15" t="n">
        <v>5</v>
      </c>
      <c r="H301" s="15" t="n">
        <v>1</v>
      </c>
      <c r="I301" s="15" t="n">
        <f aca="false">IF(AND(ISNUMBER(G301),ISNUMBER(H301)),G301*2-H301,"")</f>
        <v>9</v>
      </c>
      <c r="J301" s="15" t="s">
        <v>1047</v>
      </c>
      <c r="K301" s="15" t="s">
        <v>1011</v>
      </c>
      <c r="L301" s="15" t="s">
        <v>1096</v>
      </c>
      <c r="M301" s="15" t="s">
        <v>138</v>
      </c>
      <c r="N301" s="15" t="str">
        <f aca="false">IF(M301="","Not built (workbook: do not build)",IFERROR(INDEX(Pages!$F$2:$F$98,MATCH(M301,Pages!$B$2:$B$98,0)),"Not found"))</f>
        <v>MIC Returns, Track Record &amp; Risk Management | Lendmax Capital MIC</v>
      </c>
      <c r="O301" s="15" t="s">
        <v>113</v>
      </c>
      <c r="P301" s="16"/>
      <c r="Q301" s="16"/>
      <c r="R301" s="16"/>
      <c r="S301" s="16"/>
      <c r="T301" s="15"/>
    </row>
    <row r="302" customFormat="false" ht="15" hidden="false" customHeight="false" outlineLevel="0" collapsed="false">
      <c r="A302" s="15" t="s">
        <v>1389</v>
      </c>
      <c r="B302" s="15" t="s">
        <v>1054</v>
      </c>
      <c r="C302" s="15" t="s">
        <v>1385</v>
      </c>
      <c r="D302" s="15" t="s">
        <v>1007</v>
      </c>
      <c r="E302" s="15" t="s">
        <v>1023</v>
      </c>
      <c r="F302" s="15" t="s">
        <v>1009</v>
      </c>
      <c r="G302" s="15" t="n">
        <v>4</v>
      </c>
      <c r="H302" s="15" t="n">
        <v>1</v>
      </c>
      <c r="I302" s="15" t="n">
        <f aca="false">IF(AND(ISNUMBER(G302),ISNUMBER(H302)),G302*2-H302,"")</f>
        <v>7</v>
      </c>
      <c r="J302" s="15" t="s">
        <v>1010</v>
      </c>
      <c r="K302" s="15" t="s">
        <v>1011</v>
      </c>
      <c r="L302" s="15" t="s">
        <v>1228</v>
      </c>
      <c r="M302" s="15" t="s">
        <v>125</v>
      </c>
      <c r="N302" s="15" t="str">
        <f aca="false">IF(M302="","Not built (workbook: do not build)",IFERROR(INDEX(Pages!$F$2:$F$98,MATCH(M302,Pages!$B$2:$B$98,0)),"Not found"))</f>
        <v>How to Start Investing in Mortgages: Step by Step</v>
      </c>
      <c r="O302" s="15" t="s">
        <v>113</v>
      </c>
      <c r="P302" s="16"/>
      <c r="Q302" s="16"/>
      <c r="R302" s="16"/>
      <c r="S302" s="16"/>
      <c r="T302" s="15"/>
    </row>
    <row r="303" customFormat="false" ht="15" hidden="false" customHeight="false" outlineLevel="0" collapsed="false">
      <c r="A303" s="15" t="s">
        <v>1390</v>
      </c>
      <c r="B303" s="15" t="s">
        <v>1054</v>
      </c>
      <c r="C303" s="15" t="s">
        <v>1385</v>
      </c>
      <c r="D303" s="15" t="s">
        <v>1007</v>
      </c>
      <c r="E303" s="15" t="s">
        <v>1023</v>
      </c>
      <c r="F303" s="15" t="s">
        <v>1009</v>
      </c>
      <c r="G303" s="15" t="n">
        <v>3</v>
      </c>
      <c r="H303" s="15" t="n">
        <v>1</v>
      </c>
      <c r="I303" s="15" t="n">
        <f aca="false">IF(AND(ISNUMBER(G303),ISNUMBER(H303)),G303*2-H303,"")</f>
        <v>5</v>
      </c>
      <c r="J303" s="15" t="s">
        <v>1019</v>
      </c>
      <c r="K303" s="15" t="s">
        <v>1011</v>
      </c>
      <c r="L303" s="15" t="s">
        <v>1295</v>
      </c>
      <c r="M303" s="15" t="s">
        <v>943</v>
      </c>
      <c r="N303" s="15" t="str">
        <f aca="false">IF(M303="","Not built (workbook: do not build)",IFERROR(INDEX(Pages!$F$2:$F$98,MATCH(M303,Pages!$B$2:$B$98,0)),"Not found"))</f>
        <v>Mortgage Investment Reporting to Investors: What to Expect</v>
      </c>
      <c r="O303" s="15" t="s">
        <v>113</v>
      </c>
      <c r="P303" s="16"/>
      <c r="Q303" s="16"/>
      <c r="R303" s="16"/>
      <c r="S303" s="16"/>
      <c r="T303" s="15"/>
    </row>
    <row r="304" customFormat="false" ht="15" hidden="false" customHeight="false" outlineLevel="0" collapsed="false">
      <c r="A304" s="15" t="s">
        <v>1391</v>
      </c>
      <c r="B304" s="15" t="s">
        <v>1054</v>
      </c>
      <c r="C304" s="15" t="s">
        <v>1385</v>
      </c>
      <c r="D304" s="15" t="s">
        <v>1007</v>
      </c>
      <c r="E304" s="15" t="s">
        <v>1023</v>
      </c>
      <c r="F304" s="15" t="s">
        <v>1009</v>
      </c>
      <c r="G304" s="15" t="n">
        <v>4</v>
      </c>
      <c r="H304" s="15" t="n">
        <v>1</v>
      </c>
      <c r="I304" s="15" t="n">
        <f aca="false">IF(AND(ISNUMBER(G304),ISNUMBER(H304)),G304*2-H304,"")</f>
        <v>7</v>
      </c>
      <c r="J304" s="15" t="s">
        <v>1010</v>
      </c>
      <c r="K304" s="15" t="s">
        <v>1011</v>
      </c>
      <c r="L304" s="15" t="s">
        <v>1184</v>
      </c>
      <c r="M304" s="15" t="s">
        <v>881</v>
      </c>
      <c r="N304" s="15" t="str">
        <f aca="false">IF(M304="","Not built (workbook: do not build)",IFERROR(INDEX(Pages!$F$2:$F$98,MATCH(M304,Pages!$B$2:$B$98,0)),"Not found"))</f>
        <v>RRSP Mortgage Investment Rules in Canada (TFSA, RRIF)</v>
      </c>
      <c r="O304" s="15" t="s">
        <v>113</v>
      </c>
      <c r="P304" s="16"/>
      <c r="Q304" s="16"/>
      <c r="R304" s="16"/>
      <c r="S304" s="16"/>
      <c r="T304" s="15"/>
    </row>
    <row r="305" customFormat="false" ht="15" hidden="false" customHeight="false" outlineLevel="0" collapsed="false">
      <c r="A305" s="15" t="s">
        <v>983</v>
      </c>
      <c r="B305" s="15" t="s">
        <v>1054</v>
      </c>
      <c r="C305" s="15" t="s">
        <v>1385</v>
      </c>
      <c r="D305" s="15" t="s">
        <v>1007</v>
      </c>
      <c r="E305" s="15" t="s">
        <v>1023</v>
      </c>
      <c r="F305" s="15" t="s">
        <v>1009</v>
      </c>
      <c r="G305" s="15" t="n">
        <v>3</v>
      </c>
      <c r="H305" s="15" t="n">
        <v>1</v>
      </c>
      <c r="I305" s="15" t="n">
        <f aca="false">IF(AND(ISNUMBER(G305),ISNUMBER(H305)),G305*2-H305,"")</f>
        <v>5</v>
      </c>
      <c r="J305" s="15" t="s">
        <v>1019</v>
      </c>
      <c r="K305" s="15" t="s">
        <v>1011</v>
      </c>
      <c r="L305" s="15" t="s">
        <v>1164</v>
      </c>
      <c r="M305" s="15" t="s">
        <v>977</v>
      </c>
      <c r="N305" s="15" t="str">
        <f aca="false">IF(M305="","Not built (workbook: do not build)",IFERROR(INDEX(Pages!$F$2:$F$98,MATCH(M305,Pages!$B$2:$B$98,0)),"Not found"))</f>
        <v>Mortgage Investment Compound Interest: DRIP Calculator</v>
      </c>
      <c r="O305" s="15" t="s">
        <v>113</v>
      </c>
      <c r="P305" s="16"/>
      <c r="Q305" s="16"/>
      <c r="R305" s="16"/>
      <c r="S305" s="16"/>
      <c r="T305" s="15"/>
    </row>
    <row r="306" customFormat="false" ht="15" hidden="false" customHeight="false" outlineLevel="0" collapsed="false">
      <c r="A306" s="15" t="s">
        <v>931</v>
      </c>
      <c r="B306" s="15" t="s">
        <v>1054</v>
      </c>
      <c r="C306" s="15" t="s">
        <v>1385</v>
      </c>
      <c r="D306" s="15" t="s">
        <v>1007</v>
      </c>
      <c r="E306" s="15" t="s">
        <v>1023</v>
      </c>
      <c r="F306" s="15" t="s">
        <v>1009</v>
      </c>
      <c r="G306" s="15" t="n">
        <v>5</v>
      </c>
      <c r="H306" s="15" t="n">
        <v>5</v>
      </c>
      <c r="I306" s="15" t="n">
        <f aca="false">IF(AND(ISNUMBER(G306),ISNUMBER(H306)),G306*2-H306,"")</f>
        <v>5</v>
      </c>
      <c r="J306" s="15" t="s">
        <v>1019</v>
      </c>
      <c r="K306" s="15" t="s">
        <v>1011</v>
      </c>
      <c r="L306" s="15" t="s">
        <v>1073</v>
      </c>
      <c r="M306" s="15" t="s">
        <v>926</v>
      </c>
      <c r="N306" s="15" t="str">
        <f aca="false">IF(M306="","Not built (workbook: do not build)",IFERROR(INDEX(Pages!$F$2:$F$98,MATCH(M306,Pages!$B$2:$B$98,0)),"Not found"))</f>
        <v>What Is a Mortgage Investment Corporation (MIC)?</v>
      </c>
      <c r="O306" s="15" t="s">
        <v>113</v>
      </c>
      <c r="P306" s="16"/>
      <c r="Q306" s="16"/>
      <c r="R306" s="16"/>
      <c r="S306" s="16"/>
      <c r="T306" s="15"/>
    </row>
    <row r="307" customFormat="false" ht="15" hidden="false" customHeight="false" outlineLevel="0" collapsed="false">
      <c r="A307" s="15" t="s">
        <v>1392</v>
      </c>
      <c r="B307" s="15" t="s">
        <v>1054</v>
      </c>
      <c r="C307" s="15" t="s">
        <v>1385</v>
      </c>
      <c r="D307" s="15" t="s">
        <v>1007</v>
      </c>
      <c r="E307" s="15" t="s">
        <v>1023</v>
      </c>
      <c r="F307" s="15" t="s">
        <v>1009</v>
      </c>
      <c r="G307" s="15" t="n">
        <v>5</v>
      </c>
      <c r="H307" s="15" t="n">
        <v>3</v>
      </c>
      <c r="I307" s="15" t="n">
        <f aca="false">IF(AND(ISNUMBER(G307),ISNUMBER(H307)),G307*2-H307,"")</f>
        <v>7</v>
      </c>
      <c r="J307" s="15" t="s">
        <v>1010</v>
      </c>
      <c r="K307" s="15" t="s">
        <v>1011</v>
      </c>
      <c r="L307" s="15" t="s">
        <v>1043</v>
      </c>
      <c r="M307" s="15" t="s">
        <v>422</v>
      </c>
      <c r="N307" s="15" t="str">
        <f aca="false">IF(M307="","Not built (workbook: do not build)",IFERROR(INDEX(Pages!$F$2:$F$98,MATCH(M307,Pages!$B$2:$B$98,0)),"Not found"))</f>
        <v>How Private Mortgage Investing Works in Canada</v>
      </c>
      <c r="O307" s="15" t="s">
        <v>113</v>
      </c>
      <c r="P307" s="16"/>
      <c r="Q307" s="16"/>
      <c r="R307" s="16"/>
      <c r="S307" s="16"/>
      <c r="T307" s="15"/>
    </row>
    <row r="308" customFormat="false" ht="15" hidden="false" customHeight="false" outlineLevel="0" collapsed="false">
      <c r="A308" s="15" t="s">
        <v>554</v>
      </c>
      <c r="B308" s="15" t="s">
        <v>1054</v>
      </c>
      <c r="C308" s="15" t="s">
        <v>1385</v>
      </c>
      <c r="D308" s="15" t="s">
        <v>1007</v>
      </c>
      <c r="E308" s="15" t="s">
        <v>1023</v>
      </c>
      <c r="F308" s="15" t="s">
        <v>1009</v>
      </c>
      <c r="G308" s="15" t="n">
        <v>4</v>
      </c>
      <c r="H308" s="15" t="n">
        <v>2</v>
      </c>
      <c r="I308" s="15" t="n">
        <f aca="false">IF(AND(ISNUMBER(G308),ISNUMBER(H308)),G308*2-H308,"")</f>
        <v>6</v>
      </c>
      <c r="J308" s="15" t="s">
        <v>1010</v>
      </c>
      <c r="K308" s="15" t="s">
        <v>1011</v>
      </c>
      <c r="L308" s="15" t="s">
        <v>1103</v>
      </c>
      <c r="M308" s="15" t="s">
        <v>549</v>
      </c>
      <c r="N308" s="15" t="str">
        <f aca="false">IF(M308="","Not built (workbook: do not build)",IFERROR(INDEX(Pages!$F$2:$F$98,MATCH(M308,Pages!$B$2:$B$98,0)),"Not found"))</f>
        <v>Mortgage Funds in Canada: How They Differ From a MIC</v>
      </c>
      <c r="O308" s="15" t="s">
        <v>113</v>
      </c>
      <c r="P308" s="16"/>
      <c r="Q308" s="16"/>
      <c r="R308" s="16"/>
      <c r="S308" s="16"/>
      <c r="T308" s="15"/>
    </row>
    <row r="309" customFormat="false" ht="15" hidden="false" customHeight="false" outlineLevel="0" collapsed="false">
      <c r="A309" s="15" t="s">
        <v>1393</v>
      </c>
      <c r="B309" s="15" t="s">
        <v>1054</v>
      </c>
      <c r="C309" s="15" t="s">
        <v>1385</v>
      </c>
      <c r="D309" s="15" t="s">
        <v>1007</v>
      </c>
      <c r="E309" s="15" t="s">
        <v>1023</v>
      </c>
      <c r="F309" s="15" t="s">
        <v>1009</v>
      </c>
      <c r="G309" s="15" t="n">
        <v>5</v>
      </c>
      <c r="H309" s="15" t="n">
        <v>2</v>
      </c>
      <c r="I309" s="15" t="n">
        <f aca="false">IF(AND(ISNUMBER(G309),ISNUMBER(H309)),G309*2-H309,"")</f>
        <v>8</v>
      </c>
      <c r="J309" s="15" t="s">
        <v>1047</v>
      </c>
      <c r="K309" s="15" t="s">
        <v>1011</v>
      </c>
      <c r="L309" s="15" t="s">
        <v>1205</v>
      </c>
      <c r="M309" s="15" t="s">
        <v>459</v>
      </c>
      <c r="N309" s="15" t="str">
        <f aca="false">IF(M309="","Not built (workbook: do not build)",IFERROR(INDEX(Pages!$F$2:$F$98,MATCH(M309,Pages!$B$2:$B$98,0)),"Not found"))</f>
        <v>Loan-to-Value in Mortgage Investing: How to Read It</v>
      </c>
      <c r="O309" s="15" t="s">
        <v>113</v>
      </c>
      <c r="P309" s="16"/>
      <c r="Q309" s="16"/>
      <c r="R309" s="16"/>
      <c r="S309" s="16"/>
      <c r="T309" s="15"/>
    </row>
    <row r="310" customFormat="false" ht="15" hidden="false" customHeight="false" outlineLevel="0" collapsed="false">
      <c r="A310" s="15" t="s">
        <v>337</v>
      </c>
      <c r="B310" s="15" t="s">
        <v>1054</v>
      </c>
      <c r="C310" s="15" t="s">
        <v>1385</v>
      </c>
      <c r="D310" s="15" t="s">
        <v>1007</v>
      </c>
      <c r="E310" s="15" t="s">
        <v>1023</v>
      </c>
      <c r="F310" s="15" t="s">
        <v>1009</v>
      </c>
      <c r="G310" s="15" t="n">
        <v>3</v>
      </c>
      <c r="H310" s="15" t="n">
        <v>1</v>
      </c>
      <c r="I310" s="15" t="n">
        <f aca="false">IF(AND(ISNUMBER(G310),ISNUMBER(H310)),G310*2-H310,"")</f>
        <v>5</v>
      </c>
      <c r="J310" s="15" t="s">
        <v>1019</v>
      </c>
      <c r="K310" s="15" t="s">
        <v>1011</v>
      </c>
      <c r="L310" s="15" t="s">
        <v>1119</v>
      </c>
      <c r="M310" s="15" t="s">
        <v>331</v>
      </c>
      <c r="N310" s="15" t="str">
        <f aca="false">IF(M310="","Not built (workbook: do not build)",IFERROR(INDEX(Pages!$F$2:$F$98,MATCH(M310,Pages!$B$2:$B$98,0)),"Not found"))</f>
        <v>Exempt Market Mortgage Investments and OMs | Lendmax Capital MIC</v>
      </c>
      <c r="O310" s="15" t="s">
        <v>113</v>
      </c>
      <c r="P310" s="16"/>
      <c r="Q310" s="16"/>
      <c r="R310" s="16"/>
      <c r="S310" s="16"/>
      <c r="T310" s="15"/>
    </row>
    <row r="311" customFormat="false" ht="15" hidden="false" customHeight="false" outlineLevel="0" collapsed="false">
      <c r="A311" s="15" t="s">
        <v>1394</v>
      </c>
      <c r="B311" s="15" t="s">
        <v>1054</v>
      </c>
      <c r="C311" s="15" t="s">
        <v>1385</v>
      </c>
      <c r="D311" s="15" t="s">
        <v>1007</v>
      </c>
      <c r="E311" s="15" t="s">
        <v>1023</v>
      </c>
      <c r="F311" s="15" t="s">
        <v>1009</v>
      </c>
      <c r="G311" s="15" t="n">
        <v>4</v>
      </c>
      <c r="H311" s="15" t="n">
        <v>3</v>
      </c>
      <c r="I311" s="15" t="n">
        <f aca="false">IF(AND(ISNUMBER(G311),ISNUMBER(H311)),G311*2-H311,"")</f>
        <v>5</v>
      </c>
      <c r="J311" s="15" t="s">
        <v>1019</v>
      </c>
      <c r="K311" s="15" t="s">
        <v>1011</v>
      </c>
      <c r="L311" s="15" t="s">
        <v>1259</v>
      </c>
      <c r="M311" s="15" t="s">
        <v>195</v>
      </c>
      <c r="N311" s="15" t="str">
        <f aca="false">IF(M311="","Not built (workbook: do not build)",IFERROR(INDEX(Pages!$F$2:$F$98,MATCH(M311,Pages!$B$2:$B$98,0)),"Not found"))</f>
        <v>Accredited Investor in Canada: Who Qualifies</v>
      </c>
      <c r="O311" s="15" t="s">
        <v>113</v>
      </c>
      <c r="P311" s="16"/>
      <c r="Q311" s="16"/>
      <c r="R311" s="16"/>
      <c r="S311" s="16"/>
      <c r="T311" s="15"/>
    </row>
    <row r="312" customFormat="false" ht="15" hidden="false" customHeight="false" outlineLevel="0" collapsed="false">
      <c r="A312" s="15" t="s">
        <v>1395</v>
      </c>
      <c r="B312" s="15" t="s">
        <v>1054</v>
      </c>
      <c r="C312" s="15" t="s">
        <v>1385</v>
      </c>
      <c r="D312" s="15" t="s">
        <v>1007</v>
      </c>
      <c r="E312" s="15" t="s">
        <v>1023</v>
      </c>
      <c r="F312" s="15" t="s">
        <v>1009</v>
      </c>
      <c r="G312" s="15" t="n">
        <v>3</v>
      </c>
      <c r="H312" s="15" t="n">
        <v>1</v>
      </c>
      <c r="I312" s="15" t="n">
        <f aca="false">IF(AND(ISNUMBER(G312),ISNUMBER(H312)),G312*2-H312,"")</f>
        <v>5</v>
      </c>
      <c r="J312" s="15" t="s">
        <v>1019</v>
      </c>
      <c r="K312" s="15" t="s">
        <v>1011</v>
      </c>
      <c r="L312" s="15" t="s">
        <v>1164</v>
      </c>
      <c r="M312" s="15" t="s">
        <v>977</v>
      </c>
      <c r="N312" s="15" t="str">
        <f aca="false">IF(M312="","Not built (workbook: do not build)",IFERROR(INDEX(Pages!$F$2:$F$98,MATCH(M312,Pages!$B$2:$B$98,0)),"Not found"))</f>
        <v>Mortgage Investment Compound Interest: DRIP Calculator</v>
      </c>
      <c r="O312" s="15" t="s">
        <v>113</v>
      </c>
      <c r="P312" s="16"/>
      <c r="Q312" s="16"/>
      <c r="R312" s="16"/>
      <c r="S312" s="16"/>
      <c r="T312" s="15"/>
    </row>
    <row r="313" customFormat="false" ht="23.85" hidden="false" customHeight="false" outlineLevel="0" collapsed="false">
      <c r="A313" s="15" t="s">
        <v>772</v>
      </c>
      <c r="B313" s="15" t="s">
        <v>1054</v>
      </c>
      <c r="C313" s="15" t="s">
        <v>1385</v>
      </c>
      <c r="D313" s="15" t="s">
        <v>1007</v>
      </c>
      <c r="E313" s="15" t="s">
        <v>1023</v>
      </c>
      <c r="F313" s="15" t="s">
        <v>1009</v>
      </c>
      <c r="G313" s="15" t="n">
        <v>4</v>
      </c>
      <c r="H313" s="15" t="n">
        <v>1</v>
      </c>
      <c r="I313" s="15" t="n">
        <f aca="false">IF(AND(ISNUMBER(G313),ISNUMBER(H313)),G313*2-H313,"")</f>
        <v>7</v>
      </c>
      <c r="J313" s="15" t="s">
        <v>1010</v>
      </c>
      <c r="K313" s="15" t="s">
        <v>1011</v>
      </c>
      <c r="L313" s="15" t="s">
        <v>1106</v>
      </c>
      <c r="M313" s="15" t="s">
        <v>766</v>
      </c>
      <c r="N313" s="15" t="str">
        <f aca="false">IF(M313="","Not built (workbook: do not build)",IFERROR(INDEX(Pages!$F$2:$F$98,MATCH(M313,Pages!$B$2:$B$98,0)),"Not found"))</f>
        <v>Mortgage Investment Structures in Canada Compared</v>
      </c>
      <c r="O313" s="15" t="s">
        <v>113</v>
      </c>
      <c r="P313" s="16"/>
      <c r="Q313" s="16"/>
      <c r="R313" s="16"/>
      <c r="S313" s="16"/>
      <c r="T313" s="15"/>
    </row>
    <row r="314" customFormat="false" ht="23.85" hidden="false" customHeight="false" outlineLevel="0" collapsed="false">
      <c r="A314" s="15" t="s">
        <v>1396</v>
      </c>
      <c r="B314" s="15" t="s">
        <v>1054</v>
      </c>
      <c r="C314" s="15" t="s">
        <v>1385</v>
      </c>
      <c r="D314" s="15" t="s">
        <v>1007</v>
      </c>
      <c r="E314" s="15" t="s">
        <v>1023</v>
      </c>
      <c r="F314" s="15" t="s">
        <v>1009</v>
      </c>
      <c r="G314" s="15" t="n">
        <v>5</v>
      </c>
      <c r="H314" s="15" t="n">
        <v>2</v>
      </c>
      <c r="I314" s="15" t="n">
        <f aca="false">IF(AND(ISNUMBER(G314),ISNUMBER(H314)),G314*2-H314,"")</f>
        <v>8</v>
      </c>
      <c r="J314" s="15" t="s">
        <v>1047</v>
      </c>
      <c r="K314" s="15" t="s">
        <v>1011</v>
      </c>
      <c r="L314" s="15" t="s">
        <v>1061</v>
      </c>
      <c r="M314" s="15" t="s">
        <v>495</v>
      </c>
      <c r="N314" s="15" t="str">
        <f aca="false">IF(M314="","Not built (workbook: do not build)",IFERROR(INDEX(Pages!$F$2:$F$98,MATCH(M314,Pages!$B$2:$B$98,0)),"Not found"))</f>
        <v>MIC vs Direct Mortgage Investing: Pooled or Your Own</v>
      </c>
      <c r="O314" s="15" t="s">
        <v>113</v>
      </c>
      <c r="P314" s="16"/>
      <c r="Q314" s="16"/>
      <c r="R314" s="16"/>
      <c r="S314" s="16"/>
      <c r="T314" s="15"/>
    </row>
    <row r="315" customFormat="false" ht="23.85" hidden="false" customHeight="false" outlineLevel="0" collapsed="false">
      <c r="A315" s="15" t="s">
        <v>1397</v>
      </c>
      <c r="B315" s="15" t="s">
        <v>1054</v>
      </c>
      <c r="C315" s="15" t="s">
        <v>1385</v>
      </c>
      <c r="D315" s="15" t="s">
        <v>1007</v>
      </c>
      <c r="E315" s="15" t="s">
        <v>1023</v>
      </c>
      <c r="F315" s="15" t="s">
        <v>1009</v>
      </c>
      <c r="G315" s="15" t="n">
        <v>3</v>
      </c>
      <c r="H315" s="15" t="n">
        <v>1</v>
      </c>
      <c r="I315" s="15" t="n">
        <f aca="false">IF(AND(ISNUMBER(G315),ISNUMBER(H315)),G315*2-H315,"")</f>
        <v>5</v>
      </c>
      <c r="J315" s="15" t="s">
        <v>1019</v>
      </c>
      <c r="K315" s="15" t="s">
        <v>1011</v>
      </c>
      <c r="L315" s="15" t="s">
        <v>1258</v>
      </c>
      <c r="M315" s="15" t="s">
        <v>531</v>
      </c>
      <c r="N315" s="15" t="str">
        <f aca="false">IF(M315="","Not built (workbook: do not build)",IFERROR(INDEX(Pages!$F$2:$F$98,MATCH(M315,Pages!$B$2:$B$98,0)),"Not found"))</f>
        <v>What Is a Mortgage Administrator? | Lendmax Capital MIC</v>
      </c>
      <c r="O315" s="15" t="s">
        <v>113</v>
      </c>
      <c r="P315" s="16"/>
      <c r="Q315" s="16"/>
      <c r="R315" s="16"/>
      <c r="S315" s="16"/>
      <c r="T315" s="15"/>
    </row>
    <row r="316" customFormat="false" ht="15" hidden="false" customHeight="false" outlineLevel="0" collapsed="false">
      <c r="A316" s="15" t="s">
        <v>537</v>
      </c>
      <c r="B316" s="15" t="s">
        <v>1054</v>
      </c>
      <c r="C316" s="15" t="s">
        <v>1385</v>
      </c>
      <c r="D316" s="15" t="s">
        <v>1007</v>
      </c>
      <c r="E316" s="15" t="s">
        <v>1023</v>
      </c>
      <c r="F316" s="15" t="s">
        <v>1009</v>
      </c>
      <c r="G316" s="15" t="n">
        <v>4</v>
      </c>
      <c r="H316" s="15" t="n">
        <v>1</v>
      </c>
      <c r="I316" s="15" t="n">
        <f aca="false">IF(AND(ISNUMBER(G316),ISNUMBER(H316)),G316*2-H316,"")</f>
        <v>7</v>
      </c>
      <c r="J316" s="15" t="s">
        <v>1010</v>
      </c>
      <c r="K316" s="15" t="s">
        <v>1011</v>
      </c>
      <c r="L316" s="15" t="s">
        <v>1258</v>
      </c>
      <c r="M316" s="15" t="s">
        <v>531</v>
      </c>
      <c r="N316" s="15" t="str">
        <f aca="false">IF(M316="","Not built (workbook: do not build)",IFERROR(INDEX(Pages!$F$2:$F$98,MATCH(M316,Pages!$B$2:$B$98,0)),"Not found"))</f>
        <v>What Is a Mortgage Administrator? | Lendmax Capital MIC</v>
      </c>
      <c r="O316" s="15" t="s">
        <v>113</v>
      </c>
      <c r="P316" s="16"/>
      <c r="Q316" s="16"/>
      <c r="R316" s="16"/>
      <c r="S316" s="16"/>
      <c r="T316" s="15"/>
    </row>
    <row r="317" customFormat="false" ht="15" hidden="false" customHeight="false" outlineLevel="0" collapsed="false">
      <c r="A317" s="15" t="s">
        <v>1398</v>
      </c>
      <c r="B317" s="15" t="s">
        <v>1054</v>
      </c>
      <c r="C317" s="15" t="s">
        <v>1385</v>
      </c>
      <c r="D317" s="15" t="s">
        <v>1007</v>
      </c>
      <c r="E317" s="15" t="s">
        <v>1023</v>
      </c>
      <c r="F317" s="15" t="s">
        <v>1009</v>
      </c>
      <c r="G317" s="15" t="n">
        <v>4</v>
      </c>
      <c r="H317" s="15" t="n">
        <v>3</v>
      </c>
      <c r="I317" s="15" t="n">
        <f aca="false">IF(AND(ISNUMBER(G317),ISNUMBER(H317)),G317*2-H317,"")</f>
        <v>5</v>
      </c>
      <c r="J317" s="15" t="s">
        <v>1019</v>
      </c>
      <c r="K317" s="15" t="s">
        <v>1011</v>
      </c>
      <c r="L317" s="15" t="s">
        <v>1070</v>
      </c>
      <c r="M317" s="15" t="s">
        <v>468</v>
      </c>
      <c r="N317" s="15" t="str">
        <f aca="false">IF(M317="","Not built (workbook: do not build)",IFERROR(INDEX(Pages!$F$2:$F$98,MATCH(M317,Pages!$B$2:$B$98,0)),"Not found"))</f>
        <v>MIC Minimum Investment: What It Takes to Start</v>
      </c>
      <c r="O317" s="15" t="s">
        <v>113</v>
      </c>
      <c r="P317" s="16"/>
      <c r="Q317" s="16"/>
      <c r="R317" s="16"/>
      <c r="S317" s="16"/>
      <c r="T317" s="15"/>
    </row>
    <row r="318" customFormat="false" ht="23.85" hidden="false" customHeight="false" outlineLevel="0" collapsed="false">
      <c r="A318" s="15" t="s">
        <v>745</v>
      </c>
      <c r="B318" s="15" t="s">
        <v>1054</v>
      </c>
      <c r="C318" s="15" t="s">
        <v>1385</v>
      </c>
      <c r="D318" s="15" t="s">
        <v>1007</v>
      </c>
      <c r="E318" s="15" t="s">
        <v>1023</v>
      </c>
      <c r="F318" s="15" t="s">
        <v>1009</v>
      </c>
      <c r="G318" s="15" t="n">
        <v>5</v>
      </c>
      <c r="H318" s="15" t="n">
        <v>2</v>
      </c>
      <c r="I318" s="15" t="n">
        <f aca="false">IF(AND(ISNUMBER(G318),ISNUMBER(H318)),G318*2-H318,"")</f>
        <v>8</v>
      </c>
      <c r="J318" s="15" t="s">
        <v>1047</v>
      </c>
      <c r="K318" s="15" t="s">
        <v>1011</v>
      </c>
      <c r="L318" s="15" t="s">
        <v>1160</v>
      </c>
      <c r="M318" s="15" t="s">
        <v>740</v>
      </c>
      <c r="N318" s="15" t="str">
        <f aca="false">IF(M318="","Not built (workbook: do not build)",IFERROR(INDEX(Pages!$F$2:$F$98,MATCH(M318,Pages!$B$2:$B$98,0)),"Not found"))</f>
        <v>Where Mortgage Investment Returns Come From | Lendmax Capital MIC</v>
      </c>
      <c r="O318" s="15" t="s">
        <v>113</v>
      </c>
      <c r="P318" s="16"/>
      <c r="Q318" s="16"/>
      <c r="R318" s="16"/>
      <c r="S318" s="16"/>
      <c r="T318" s="15"/>
    </row>
    <row r="319" customFormat="false" ht="15" hidden="false" customHeight="false" outlineLevel="0" collapsed="false">
      <c r="A319" s="15" t="s">
        <v>861</v>
      </c>
      <c r="B319" s="15" t="s">
        <v>1054</v>
      </c>
      <c r="C319" s="15" t="s">
        <v>1385</v>
      </c>
      <c r="D319" s="15" t="s">
        <v>1007</v>
      </c>
      <c r="E319" s="15" t="s">
        <v>1023</v>
      </c>
      <c r="F319" s="15" t="s">
        <v>1009</v>
      </c>
      <c r="G319" s="15" t="n">
        <v>4</v>
      </c>
      <c r="H319" s="15" t="n">
        <v>1</v>
      </c>
      <c r="I319" s="15" t="n">
        <f aca="false">IF(AND(ISNUMBER(G319),ISNUMBER(H319)),G319*2-H319,"")</f>
        <v>7</v>
      </c>
      <c r="J319" s="15" t="s">
        <v>1010</v>
      </c>
      <c r="K319" s="15" t="s">
        <v>1011</v>
      </c>
      <c r="L319" s="15" t="s">
        <v>1172</v>
      </c>
      <c r="M319" s="15" t="s">
        <v>855</v>
      </c>
      <c r="N319" s="15" t="str">
        <f aca="false">IF(M319="","Not built (workbook: do not build)",IFERROR(INDEX(Pages!$F$2:$F$98,MATCH(M319,Pages!$B$2:$B$98,0)),"Not found"))</f>
        <v>Reinvestment Risk in Mortgage Investing Explained</v>
      </c>
      <c r="O319" s="15" t="s">
        <v>113</v>
      </c>
      <c r="P319" s="16"/>
      <c r="Q319" s="16"/>
      <c r="R319" s="16"/>
      <c r="S319" s="16"/>
      <c r="T319" s="15"/>
    </row>
    <row r="320" customFormat="false" ht="15" hidden="false" customHeight="false" outlineLevel="0" collapsed="false">
      <c r="A320" s="15" t="s">
        <v>754</v>
      </c>
      <c r="B320" s="15" t="s">
        <v>1054</v>
      </c>
      <c r="C320" s="15" t="s">
        <v>1385</v>
      </c>
      <c r="D320" s="15" t="s">
        <v>1007</v>
      </c>
      <c r="E320" s="15" t="s">
        <v>1023</v>
      </c>
      <c r="F320" s="15" t="s">
        <v>1009</v>
      </c>
      <c r="G320" s="15" t="n">
        <v>5</v>
      </c>
      <c r="H320" s="15" t="n">
        <v>2</v>
      </c>
      <c r="I320" s="15" t="n">
        <f aca="false">IF(AND(ISNUMBER(G320),ISNUMBER(H320)),G320*2-H320,"")</f>
        <v>8</v>
      </c>
      <c r="J320" s="15" t="s">
        <v>1047</v>
      </c>
      <c r="K320" s="15" t="s">
        <v>1011</v>
      </c>
      <c r="L320" s="15" t="s">
        <v>1197</v>
      </c>
      <c r="M320" s="15" t="s">
        <v>748</v>
      </c>
      <c r="N320" s="15" t="str">
        <f aca="false">IF(M320="","Not built (workbook: do not build)",IFERROR(INDEX(Pages!$F$2:$F$98,MATCH(M320,Pages!$B$2:$B$98,0)),"Not found"))</f>
        <v>Mortgage Investment Risks in Canada | Lendmax Capital MIC</v>
      </c>
      <c r="O320" s="15" t="s">
        <v>113</v>
      </c>
      <c r="P320" s="16"/>
      <c r="Q320" s="16"/>
      <c r="R320" s="16"/>
      <c r="S320" s="16"/>
      <c r="T320" s="15"/>
    </row>
    <row r="321" customFormat="false" ht="15" hidden="false" customHeight="false" outlineLevel="0" collapsed="false">
      <c r="A321" s="15" t="s">
        <v>1399</v>
      </c>
      <c r="B321" s="15" t="s">
        <v>1054</v>
      </c>
      <c r="C321" s="15" t="s">
        <v>1385</v>
      </c>
      <c r="D321" s="15" t="s">
        <v>1007</v>
      </c>
      <c r="E321" s="15" t="s">
        <v>1023</v>
      </c>
      <c r="F321" s="15" t="s">
        <v>1009</v>
      </c>
      <c r="G321" s="15" t="n">
        <v>5</v>
      </c>
      <c r="H321" s="15" t="n">
        <v>2</v>
      </c>
      <c r="I321" s="15" t="n">
        <f aca="false">IF(AND(ISNUMBER(G321),ISNUMBER(H321)),G321*2-H321,"")</f>
        <v>8</v>
      </c>
      <c r="J321" s="15" t="s">
        <v>1047</v>
      </c>
      <c r="K321" s="15" t="s">
        <v>1011</v>
      </c>
      <c r="L321" s="15" t="s">
        <v>1197</v>
      </c>
      <c r="M321" s="15" t="s">
        <v>748</v>
      </c>
      <c r="N321" s="15" t="str">
        <f aca="false">IF(M321="","Not built (workbook: do not build)",IFERROR(INDEX(Pages!$F$2:$F$98,MATCH(M321,Pages!$B$2:$B$98,0)),"Not found"))</f>
        <v>Mortgage Investment Risks in Canada | Lendmax Capital MIC</v>
      </c>
      <c r="O321" s="15" t="s">
        <v>113</v>
      </c>
      <c r="P321" s="16"/>
      <c r="Q321" s="16"/>
      <c r="R321" s="16"/>
      <c r="S321" s="16"/>
      <c r="T321" s="15"/>
    </row>
    <row r="322" customFormat="false" ht="15" hidden="false" customHeight="false" outlineLevel="0" collapsed="false">
      <c r="A322" s="15" t="s">
        <v>234</v>
      </c>
      <c r="B322" s="15" t="s">
        <v>1054</v>
      </c>
      <c r="C322" s="15" t="s">
        <v>1385</v>
      </c>
      <c r="D322" s="15" t="s">
        <v>1007</v>
      </c>
      <c r="E322" s="15" t="s">
        <v>1023</v>
      </c>
      <c r="F322" s="15" t="s">
        <v>1009</v>
      </c>
      <c r="G322" s="15" t="n">
        <v>5</v>
      </c>
      <c r="H322" s="15" t="n">
        <v>2</v>
      </c>
      <c r="I322" s="15" t="n">
        <f aca="false">IF(AND(ISNUMBER(G322),ISNUMBER(H322)),G322*2-H322,"")</f>
        <v>8</v>
      </c>
      <c r="J322" s="15" t="s">
        <v>1047</v>
      </c>
      <c r="K322" s="15" t="s">
        <v>1011</v>
      </c>
      <c r="L322" s="15" t="s">
        <v>1197</v>
      </c>
      <c r="M322" s="15" t="s">
        <v>228</v>
      </c>
      <c r="N322" s="15" t="str">
        <f aca="false">IF(M322="","Not built (workbook: do not build)",IFERROR(INDEX(Pages!$F$2:$F$98,MATCH(M322,Pages!$B$2:$B$98,0)),"Not found"))</f>
        <v>Are MIC Investments Guaranteed? No. Here's Why</v>
      </c>
      <c r="O322" s="15" t="s">
        <v>113</v>
      </c>
      <c r="P322" s="16"/>
      <c r="Q322" s="16"/>
      <c r="R322" s="16"/>
      <c r="S322" s="16"/>
      <c r="T322" s="15"/>
    </row>
    <row r="323" customFormat="false" ht="15" hidden="false" customHeight="false" outlineLevel="0" collapsed="false">
      <c r="A323" s="15" t="s">
        <v>668</v>
      </c>
      <c r="B323" s="15" t="s">
        <v>1054</v>
      </c>
      <c r="C323" s="15" t="s">
        <v>1385</v>
      </c>
      <c r="D323" s="15" t="s">
        <v>1007</v>
      </c>
      <c r="E323" s="15" t="s">
        <v>1023</v>
      </c>
      <c r="F323" s="15" t="s">
        <v>1009</v>
      </c>
      <c r="G323" s="15" t="n">
        <v>5</v>
      </c>
      <c r="H323" s="15" t="n">
        <v>1</v>
      </c>
      <c r="I323" s="15" t="n">
        <f aca="false">IF(AND(ISNUMBER(G323),ISNUMBER(H323)),G323*2-H323,"")</f>
        <v>9</v>
      </c>
      <c r="J323" s="15" t="s">
        <v>1047</v>
      </c>
      <c r="K323" s="15" t="s">
        <v>1011</v>
      </c>
      <c r="L323" s="15" t="s">
        <v>1274</v>
      </c>
      <c r="M323" s="15" t="s">
        <v>662</v>
      </c>
      <c r="N323" s="15" t="str">
        <f aca="false">IF(M323="","Not built (workbook: do not build)",IFERROR(INDEX(Pages!$F$2:$F$98,MATCH(M323,Pages!$B$2:$B$98,0)),"Not found"))</f>
        <v>Mortgage Investing vs GICs: Yield and Insurance</v>
      </c>
      <c r="O323" s="15" t="s">
        <v>113</v>
      </c>
      <c r="P323" s="16"/>
      <c r="Q323" s="16"/>
      <c r="R323" s="16"/>
      <c r="S323" s="16"/>
      <c r="T323" s="15"/>
    </row>
    <row r="324" customFormat="false" ht="15" hidden="false" customHeight="false" outlineLevel="0" collapsed="false">
      <c r="A324" s="15" t="s">
        <v>1400</v>
      </c>
      <c r="B324" s="15" t="s">
        <v>1054</v>
      </c>
      <c r="C324" s="15" t="s">
        <v>1385</v>
      </c>
      <c r="D324" s="15" t="s">
        <v>1007</v>
      </c>
      <c r="E324" s="15" t="s">
        <v>1023</v>
      </c>
      <c r="F324" s="15" t="s">
        <v>1009</v>
      </c>
      <c r="G324" s="15" t="n">
        <v>5</v>
      </c>
      <c r="H324" s="15" t="n">
        <v>2</v>
      </c>
      <c r="I324" s="15" t="n">
        <f aca="false">IF(AND(ISNUMBER(G324),ISNUMBER(H324)),G324*2-H324,"")</f>
        <v>8</v>
      </c>
      <c r="J324" s="15" t="s">
        <v>1047</v>
      </c>
      <c r="K324" s="15" t="s">
        <v>1011</v>
      </c>
      <c r="L324" s="15" t="s">
        <v>1274</v>
      </c>
      <c r="M324" s="15" t="s">
        <v>662</v>
      </c>
      <c r="N324" s="15" t="str">
        <f aca="false">IF(M324="","Not built (workbook: do not build)",IFERROR(INDEX(Pages!$F$2:$F$98,MATCH(M324,Pages!$B$2:$B$98,0)),"Not found"))</f>
        <v>Mortgage Investing vs GICs: Yield and Insurance</v>
      </c>
      <c r="O324" s="15" t="s">
        <v>113</v>
      </c>
      <c r="P324" s="16"/>
      <c r="Q324" s="16"/>
      <c r="R324" s="16"/>
      <c r="S324" s="16"/>
      <c r="T324" s="15"/>
    </row>
    <row r="325" customFormat="false" ht="15" hidden="false" customHeight="false" outlineLevel="0" collapsed="false">
      <c r="A325" s="15" t="s">
        <v>1401</v>
      </c>
      <c r="B325" s="15" t="s">
        <v>1054</v>
      </c>
      <c r="C325" s="15" t="s">
        <v>1385</v>
      </c>
      <c r="D325" s="15" t="s">
        <v>1007</v>
      </c>
      <c r="E325" s="15" t="s">
        <v>1023</v>
      </c>
      <c r="F325" s="15" t="s">
        <v>1009</v>
      </c>
      <c r="G325" s="15" t="n">
        <v>4</v>
      </c>
      <c r="H325" s="15" t="n">
        <v>1</v>
      </c>
      <c r="I325" s="15" t="n">
        <f aca="false">IF(AND(ISNUMBER(G325),ISNUMBER(H325)),G325*2-H325,"")</f>
        <v>7</v>
      </c>
      <c r="J325" s="15" t="s">
        <v>1010</v>
      </c>
      <c r="K325" s="15" t="s">
        <v>1011</v>
      </c>
      <c r="L325" s="15" t="s">
        <v>1276</v>
      </c>
      <c r="M325" s="15" t="s">
        <v>646</v>
      </c>
      <c r="N325" s="15" t="str">
        <f aca="false">IF(M325="","Not built (workbook: do not build)",IFERROR(INDEX(Pages!$F$2:$F$98,MATCH(M325,Pages!$B$2:$B$98,0)),"Not found"))</f>
        <v>Mortgage Investing vs Bonds: Two Kinds of Fixed Income</v>
      </c>
      <c r="O325" s="15" t="s">
        <v>113</v>
      </c>
      <c r="P325" s="16"/>
      <c r="Q325" s="16"/>
      <c r="R325" s="16"/>
      <c r="S325" s="16"/>
      <c r="T325" s="15"/>
    </row>
    <row r="326" customFormat="false" ht="15" hidden="false" customHeight="false" outlineLevel="0" collapsed="false">
      <c r="A326" s="15" t="s">
        <v>1402</v>
      </c>
      <c r="B326" s="15" t="s">
        <v>1054</v>
      </c>
      <c r="C326" s="15" t="s">
        <v>1385</v>
      </c>
      <c r="D326" s="15" t="s">
        <v>1007</v>
      </c>
      <c r="E326" s="15" t="s">
        <v>1023</v>
      </c>
      <c r="F326" s="15" t="s">
        <v>1009</v>
      </c>
      <c r="G326" s="15" t="n">
        <v>4</v>
      </c>
      <c r="H326" s="15" t="n">
        <v>1</v>
      </c>
      <c r="I326" s="15" t="n">
        <f aca="false">IF(AND(ISNUMBER(G326),ISNUMBER(H326)),G326*2-H326,"")</f>
        <v>7</v>
      </c>
      <c r="J326" s="15" t="s">
        <v>1010</v>
      </c>
      <c r="K326" s="15" t="s">
        <v>1011</v>
      </c>
      <c r="L326" s="15" t="s">
        <v>1279</v>
      </c>
      <c r="M326" s="15" t="s">
        <v>671</v>
      </c>
      <c r="N326" s="15" t="str">
        <f aca="false">IF(M326="","Not built (workbook: do not build)",IFERROR(INDEX(Pages!$F$2:$F$98,MATCH(M326,Pages!$B$2:$B$98,0)),"Not found"))</f>
        <v>Mortgage Investing vs Owning a Rental Property</v>
      </c>
      <c r="O326" s="15" t="s">
        <v>113</v>
      </c>
      <c r="P326" s="16"/>
      <c r="Q326" s="16"/>
      <c r="R326" s="16"/>
      <c r="S326" s="16"/>
      <c r="T326" s="15"/>
    </row>
    <row r="327" customFormat="false" ht="15" hidden="false" customHeight="false" outlineLevel="0" collapsed="false">
      <c r="A327" s="15" t="s">
        <v>1403</v>
      </c>
      <c r="B327" s="15" t="s">
        <v>1054</v>
      </c>
      <c r="C327" s="15" t="s">
        <v>1385</v>
      </c>
      <c r="D327" s="15" t="s">
        <v>1007</v>
      </c>
      <c r="E327" s="15" t="s">
        <v>1023</v>
      </c>
      <c r="F327" s="15" t="s">
        <v>1009</v>
      </c>
      <c r="G327" s="15" t="n">
        <v>4</v>
      </c>
      <c r="H327" s="15" t="n">
        <v>1</v>
      </c>
      <c r="I327" s="15" t="n">
        <f aca="false">IF(AND(ISNUMBER(G327),ISNUMBER(H327)),G327*2-H327,"")</f>
        <v>7</v>
      </c>
      <c r="J327" s="15" t="s">
        <v>1010</v>
      </c>
      <c r="K327" s="15" t="s">
        <v>1011</v>
      </c>
      <c r="L327" s="15" t="s">
        <v>1123</v>
      </c>
      <c r="M327" s="15" t="s">
        <v>349</v>
      </c>
      <c r="N327" s="15" t="str">
        <f aca="false">IF(M327="","Not built (workbook: do not build)",IFERROR(INDEX(Pages!$F$2:$F$98,MATCH(M327,Pages!$B$2:$B$98,0)),"Not found"))</f>
        <v>First vs Second Mortgage Investing: What Position Costs</v>
      </c>
      <c r="O327" s="15" t="s">
        <v>113</v>
      </c>
      <c r="P327" s="16"/>
      <c r="Q327" s="16"/>
      <c r="R327" s="16"/>
      <c r="S327" s="16"/>
      <c r="T327" s="15"/>
    </row>
    <row r="328" customFormat="false" ht="15" hidden="false" customHeight="false" outlineLevel="0" collapsed="false">
      <c r="A328" s="15" t="s">
        <v>728</v>
      </c>
      <c r="B328" s="15" t="s">
        <v>1054</v>
      </c>
      <c r="C328" s="15" t="s">
        <v>1385</v>
      </c>
      <c r="D328" s="15" t="s">
        <v>1007</v>
      </c>
      <c r="E328" s="15" t="s">
        <v>1023</v>
      </c>
      <c r="F328" s="15" t="s">
        <v>1009</v>
      </c>
      <c r="G328" s="15" t="n">
        <v>4</v>
      </c>
      <c r="H328" s="15" t="n">
        <v>1</v>
      </c>
      <c r="I328" s="15" t="n">
        <f aca="false">IF(AND(ISNUMBER(G328),ISNUMBER(H328)),G328*2-H328,"")</f>
        <v>7</v>
      </c>
      <c r="J328" s="15" t="s">
        <v>1010</v>
      </c>
      <c r="K328" s="15" t="s">
        <v>1011</v>
      </c>
      <c r="L328" s="15" t="s">
        <v>1255</v>
      </c>
      <c r="M328" s="15" t="s">
        <v>722</v>
      </c>
      <c r="N328" s="15" t="str">
        <f aca="false">IF(M328="","Not built (workbook: do not build)",IFERROR(INDEX(Pages!$F$2:$F$98,MATCH(M328,Pages!$B$2:$B$98,0)),"Not found"))</f>
        <v>Mortgage Investment Regulations in Canada | Lendmax Capital MIC</v>
      </c>
      <c r="O328" s="15" t="s">
        <v>113</v>
      </c>
      <c r="P328" s="16"/>
      <c r="Q328" s="16"/>
      <c r="R328" s="16"/>
      <c r="S328" s="16"/>
      <c r="T328" s="15"/>
    </row>
    <row r="329" customFormat="false" ht="23.85" hidden="false" customHeight="false" outlineLevel="0" collapsed="false">
      <c r="A329" s="15" t="s">
        <v>1404</v>
      </c>
      <c r="B329" s="15" t="s">
        <v>1054</v>
      </c>
      <c r="C329" s="15" t="s">
        <v>1385</v>
      </c>
      <c r="D329" s="15" t="s">
        <v>1007</v>
      </c>
      <c r="E329" s="15" t="s">
        <v>1023</v>
      </c>
      <c r="F329" s="15" t="s">
        <v>1009</v>
      </c>
      <c r="G329" s="15" t="n">
        <v>5</v>
      </c>
      <c r="H329" s="15" t="n">
        <v>3</v>
      </c>
      <c r="I329" s="15" t="n">
        <f aca="false">IF(AND(ISNUMBER(G329),ISNUMBER(H329)),G329*2-H329,"")</f>
        <v>7</v>
      </c>
      <c r="J329" s="15" t="s">
        <v>1010</v>
      </c>
      <c r="K329" s="15" t="s">
        <v>1011</v>
      </c>
      <c r="L329" s="15" t="s">
        <v>1197</v>
      </c>
      <c r="M329" s="15" t="s">
        <v>748</v>
      </c>
      <c r="N329" s="15" t="str">
        <f aca="false">IF(M329="","Not built (workbook: do not build)",IFERROR(INDEX(Pages!$F$2:$F$98,MATCH(M329,Pages!$B$2:$B$98,0)),"Not found"))</f>
        <v>Mortgage Investment Risks in Canada | Lendmax Capital MIC</v>
      </c>
      <c r="O329" s="15" t="s">
        <v>113</v>
      </c>
      <c r="P329" s="16"/>
      <c r="Q329" s="16"/>
      <c r="R329" s="16"/>
      <c r="S329" s="16"/>
      <c r="T329" s="15"/>
    </row>
    <row r="330" customFormat="false" ht="15" hidden="false" customHeight="false" outlineLevel="0" collapsed="false">
      <c r="A330" s="15" t="s">
        <v>1405</v>
      </c>
      <c r="B330" s="15" t="s">
        <v>1054</v>
      </c>
      <c r="C330" s="15" t="s">
        <v>1385</v>
      </c>
      <c r="D330" s="15" t="s">
        <v>1007</v>
      </c>
      <c r="E330" s="15" t="s">
        <v>1023</v>
      </c>
      <c r="F330" s="15" t="s">
        <v>1009</v>
      </c>
      <c r="G330" s="15" t="n">
        <v>5</v>
      </c>
      <c r="H330" s="15" t="n">
        <v>2</v>
      </c>
      <c r="I330" s="15" t="n">
        <f aca="false">IF(AND(ISNUMBER(G330),ISNUMBER(H330)),G330*2-H330,"")</f>
        <v>8</v>
      </c>
      <c r="J330" s="15" t="s">
        <v>1047</v>
      </c>
      <c r="K330" s="15" t="s">
        <v>1011</v>
      </c>
      <c r="L330" s="15" t="s">
        <v>1197</v>
      </c>
      <c r="M330" s="15" t="s">
        <v>748</v>
      </c>
      <c r="N330" s="15" t="str">
        <f aca="false">IF(M330="","Not built (workbook: do not build)",IFERROR(INDEX(Pages!$F$2:$F$98,MATCH(M330,Pages!$B$2:$B$98,0)),"Not found"))</f>
        <v>Mortgage Investment Risks in Canada | Lendmax Capital MIC</v>
      </c>
      <c r="O330" s="15" t="s">
        <v>113</v>
      </c>
      <c r="P330" s="16"/>
      <c r="Q330" s="16"/>
      <c r="R330" s="16"/>
      <c r="S330" s="16"/>
      <c r="T330" s="15"/>
    </row>
    <row r="331" customFormat="false" ht="15" hidden="false" customHeight="false" outlineLevel="0" collapsed="false">
      <c r="A331" s="15" t="s">
        <v>292</v>
      </c>
      <c r="B331" s="15" t="s">
        <v>1054</v>
      </c>
      <c r="C331" s="15" t="s">
        <v>1385</v>
      </c>
      <c r="D331" s="15" t="s">
        <v>1007</v>
      </c>
      <c r="E331" s="15" t="s">
        <v>1023</v>
      </c>
      <c r="F331" s="15" t="s">
        <v>1009</v>
      </c>
      <c r="G331" s="15" t="n">
        <v>5</v>
      </c>
      <c r="H331" s="15" t="n">
        <v>1</v>
      </c>
      <c r="I331" s="15" t="n">
        <f aca="false">IF(AND(ISNUMBER(G331),ISNUMBER(H331)),G331*2-H331,"")</f>
        <v>9</v>
      </c>
      <c r="J331" s="15" t="s">
        <v>1047</v>
      </c>
      <c r="K331" s="15" t="s">
        <v>1011</v>
      </c>
      <c r="L331" s="15" t="s">
        <v>1139</v>
      </c>
      <c r="M331" s="15" t="s">
        <v>286</v>
      </c>
      <c r="N331" s="15" t="str">
        <f aca="false">IF(M331="","Not built (workbook: do not build)",IFERROR(INDEX(Pages!$F$2:$F$98,MATCH(M331,Pages!$B$2:$B$98,0)),"Not found"))</f>
        <v>Construction Mortgage Investments: Draws and Holdbacks</v>
      </c>
      <c r="O331" s="15" t="s">
        <v>113</v>
      </c>
      <c r="P331" s="16"/>
      <c r="Q331" s="16"/>
      <c r="R331" s="16"/>
      <c r="S331" s="16"/>
      <c r="T331" s="15"/>
    </row>
    <row r="332" customFormat="false" ht="15" hidden="false" customHeight="false" outlineLevel="0" collapsed="false">
      <c r="A332" s="15" t="s">
        <v>896</v>
      </c>
      <c r="B332" s="15" t="s">
        <v>1054</v>
      </c>
      <c r="C332" s="15" t="s">
        <v>1385</v>
      </c>
      <c r="D332" s="15" t="s">
        <v>1007</v>
      </c>
      <c r="E332" s="15" t="s">
        <v>1023</v>
      </c>
      <c r="F332" s="15" t="s">
        <v>1009</v>
      </c>
      <c r="G332" s="15" t="n">
        <v>5</v>
      </c>
      <c r="H332" s="15" t="n">
        <v>1</v>
      </c>
      <c r="I332" s="15" t="n">
        <f aca="false">IF(AND(ISNUMBER(G332),ISNUMBER(H332)),G332*2-H332,"")</f>
        <v>9</v>
      </c>
      <c r="J332" s="15" t="s">
        <v>1047</v>
      </c>
      <c r="K332" s="15" t="s">
        <v>1011</v>
      </c>
      <c r="L332" s="15" t="s">
        <v>1123</v>
      </c>
      <c r="M332" s="15" t="s">
        <v>890</v>
      </c>
      <c r="N332" s="15" t="str">
        <f aca="false">IF(M332="","Not built (workbook: do not build)",IFERROR(INDEX(Pages!$F$2:$F$98,MATCH(M332,Pages!$B$2:$B$98,0)),"Not found"))</f>
        <v>Second Mortgage Investments: Yield and Risk | Lendmax Capital MIC</v>
      </c>
      <c r="O332" s="15" t="s">
        <v>113</v>
      </c>
      <c r="P332" s="16"/>
      <c r="Q332" s="16"/>
      <c r="R332" s="16"/>
      <c r="S332" s="16"/>
      <c r="T332" s="15"/>
    </row>
    <row r="333" customFormat="false" ht="15" hidden="false" customHeight="false" outlineLevel="0" collapsed="false">
      <c r="A333" s="15" t="s">
        <v>1406</v>
      </c>
      <c r="B333" s="15" t="s">
        <v>1054</v>
      </c>
      <c r="C333" s="15" t="s">
        <v>1385</v>
      </c>
      <c r="D333" s="15" t="s">
        <v>1007</v>
      </c>
      <c r="E333" s="15" t="s">
        <v>1023</v>
      </c>
      <c r="F333" s="15" t="s">
        <v>1009</v>
      </c>
      <c r="G333" s="15" t="n">
        <v>5</v>
      </c>
      <c r="H333" s="15" t="n">
        <v>1</v>
      </c>
      <c r="I333" s="15" t="n">
        <f aca="false">IF(AND(ISNUMBER(G333),ISNUMBER(H333)),G333*2-H333,"")</f>
        <v>9</v>
      </c>
      <c r="J333" s="15" t="s">
        <v>1047</v>
      </c>
      <c r="K333" s="15" t="s">
        <v>1011</v>
      </c>
      <c r="L333" s="15" t="s">
        <v>1085</v>
      </c>
      <c r="M333" s="15" t="s">
        <v>450</v>
      </c>
      <c r="N333" s="15" t="str">
        <f aca="false">IF(M333="","Not built (workbook: do not build)",IFERROR(INDEX(Pages!$F$2:$F$98,MATCH(M333,Pages!$B$2:$B$98,0)),"Not found"))</f>
        <v>Liquidity Risk in a Mortgage Investment: Redemption</v>
      </c>
      <c r="O333" s="15" t="s">
        <v>113</v>
      </c>
      <c r="P333" s="16"/>
      <c r="Q333" s="16"/>
      <c r="R333" s="16"/>
      <c r="S333" s="16"/>
      <c r="T333" s="15"/>
    </row>
    <row r="334" customFormat="false" ht="15" hidden="false" customHeight="false" outlineLevel="0" collapsed="false">
      <c r="A334" s="15" t="s">
        <v>694</v>
      </c>
      <c r="B334" s="15" t="s">
        <v>1054</v>
      </c>
      <c r="C334" s="15" t="s">
        <v>1385</v>
      </c>
      <c r="D334" s="15" t="s">
        <v>1007</v>
      </c>
      <c r="E334" s="15" t="s">
        <v>1023</v>
      </c>
      <c r="F334" s="15" t="s">
        <v>1009</v>
      </c>
      <c r="G334" s="15" t="n">
        <v>5</v>
      </c>
      <c r="H334" s="15" t="n">
        <v>1</v>
      </c>
      <c r="I334" s="15" t="n">
        <f aca="false">IF(AND(ISNUMBER(G334),ISNUMBER(H334)),G334*2-H334,"")</f>
        <v>9</v>
      </c>
      <c r="J334" s="15" t="s">
        <v>1047</v>
      </c>
      <c r="K334" s="15" t="s">
        <v>1011</v>
      </c>
      <c r="L334" s="15" t="s">
        <v>1168</v>
      </c>
      <c r="M334" s="15" t="s">
        <v>688</v>
      </c>
      <c r="N334" s="15" t="str">
        <f aca="false">IF(M334="","Not built (workbook: do not build)",IFERROR(INDEX(Pages!$F$2:$F$98,MATCH(M334,Pages!$B$2:$B$98,0)),"Not found"))</f>
        <v>Mortgage Investment Fees in Canada, Itemized</v>
      </c>
      <c r="O334" s="15" t="s">
        <v>113</v>
      </c>
      <c r="P334" s="16"/>
      <c r="Q334" s="16"/>
      <c r="R334" s="16"/>
      <c r="S334" s="16"/>
      <c r="T334" s="15"/>
    </row>
    <row r="335" customFormat="false" ht="15" hidden="false" customHeight="false" outlineLevel="0" collapsed="false">
      <c r="A335" s="15" t="s">
        <v>1407</v>
      </c>
      <c r="B335" s="15" t="s">
        <v>1054</v>
      </c>
      <c r="C335" s="15" t="s">
        <v>1385</v>
      </c>
      <c r="D335" s="15" t="s">
        <v>1007</v>
      </c>
      <c r="E335" s="15" t="s">
        <v>1023</v>
      </c>
      <c r="F335" s="15" t="s">
        <v>1009</v>
      </c>
      <c r="G335" s="15" t="n">
        <v>4</v>
      </c>
      <c r="H335" s="15" t="n">
        <v>1</v>
      </c>
      <c r="I335" s="15" t="n">
        <f aca="false">IF(AND(ISNUMBER(G335),ISNUMBER(H335)),G335*2-H335,"")</f>
        <v>7</v>
      </c>
      <c r="J335" s="15" t="s">
        <v>1010</v>
      </c>
      <c r="K335" s="15" t="s">
        <v>1011</v>
      </c>
      <c r="L335" s="15" t="s">
        <v>1085</v>
      </c>
      <c r="M335" s="15" t="s">
        <v>450</v>
      </c>
      <c r="N335" s="15" t="str">
        <f aca="false">IF(M335="","Not built (workbook: do not build)",IFERROR(INDEX(Pages!$F$2:$F$98,MATCH(M335,Pages!$B$2:$B$98,0)),"Not found"))</f>
        <v>Liquidity Risk in a Mortgage Investment: Redemption</v>
      </c>
      <c r="O335" s="15" t="s">
        <v>113</v>
      </c>
      <c r="P335" s="16"/>
      <c r="Q335" s="16"/>
      <c r="R335" s="16"/>
      <c r="S335" s="16"/>
      <c r="T335" s="15"/>
    </row>
    <row r="336" customFormat="false" ht="15" hidden="false" customHeight="false" outlineLevel="0" collapsed="false">
      <c r="A336" s="15" t="s">
        <v>1408</v>
      </c>
      <c r="B336" s="15" t="s">
        <v>1054</v>
      </c>
      <c r="C336" s="15" t="s">
        <v>1385</v>
      </c>
      <c r="D336" s="15" t="s">
        <v>1007</v>
      </c>
      <c r="E336" s="15" t="s">
        <v>1023</v>
      </c>
      <c r="F336" s="15" t="s">
        <v>1009</v>
      </c>
      <c r="G336" s="15" t="n">
        <v>5</v>
      </c>
      <c r="H336" s="15" t="n">
        <v>2</v>
      </c>
      <c r="I336" s="15" t="n">
        <f aca="false">IF(AND(ISNUMBER(G336),ISNUMBER(H336)),G336*2-H336,"")</f>
        <v>8</v>
      </c>
      <c r="J336" s="15" t="s">
        <v>1047</v>
      </c>
      <c r="K336" s="15" t="s">
        <v>1011</v>
      </c>
      <c r="L336" s="15" t="s">
        <v>1160</v>
      </c>
      <c r="M336" s="15" t="s">
        <v>404</v>
      </c>
      <c r="N336" s="15" t="str">
        <f aca="false">IF(M336="","Not built (workbook: do not build)",IFERROR(INDEX(Pages!$F$2:$F$98,MATCH(M336,Pages!$B$2:$B$98,0)),"Not found"))</f>
        <v>How Do Mortgage Investors Make Money? | Lendmax Capital MIC</v>
      </c>
      <c r="O336" s="15" t="s">
        <v>113</v>
      </c>
      <c r="P336" s="16"/>
      <c r="Q336" s="16"/>
      <c r="R336" s="16"/>
      <c r="S336" s="16"/>
      <c r="T336" s="15"/>
    </row>
    <row r="337" customFormat="false" ht="15" hidden="false" customHeight="false" outlineLevel="0" collapsed="false">
      <c r="A337" s="15" t="s">
        <v>1409</v>
      </c>
      <c r="B337" s="15" t="s">
        <v>1054</v>
      </c>
      <c r="C337" s="15" t="s">
        <v>1385</v>
      </c>
      <c r="D337" s="15" t="s">
        <v>1007</v>
      </c>
      <c r="E337" s="15" t="s">
        <v>1023</v>
      </c>
      <c r="F337" s="15" t="s">
        <v>1009</v>
      </c>
      <c r="G337" s="15" t="n">
        <v>5</v>
      </c>
      <c r="H337" s="15" t="n">
        <v>2</v>
      </c>
      <c r="I337" s="15" t="n">
        <f aca="false">IF(AND(ISNUMBER(G337),ISNUMBER(H337)),G337*2-H337,"")</f>
        <v>8</v>
      </c>
      <c r="J337" s="15" t="s">
        <v>1047</v>
      </c>
      <c r="K337" s="15" t="s">
        <v>1011</v>
      </c>
      <c r="L337" s="15" t="s">
        <v>1070</v>
      </c>
      <c r="M337" s="15" t="s">
        <v>468</v>
      </c>
      <c r="N337" s="15" t="str">
        <f aca="false">IF(M337="","Not built (workbook: do not build)",IFERROR(INDEX(Pages!$F$2:$F$98,MATCH(M337,Pages!$B$2:$B$98,0)),"Not found"))</f>
        <v>MIC Minimum Investment: What It Takes to Start</v>
      </c>
      <c r="O337" s="15" t="s">
        <v>113</v>
      </c>
      <c r="P337" s="16"/>
      <c r="Q337" s="16"/>
      <c r="R337" s="16"/>
      <c r="S337" s="16"/>
      <c r="T337" s="15"/>
    </row>
    <row r="338" customFormat="false" ht="15" hidden="false" customHeight="false" outlineLevel="0" collapsed="false">
      <c r="A338" s="15" t="s">
        <v>474</v>
      </c>
      <c r="B338" s="15" t="s">
        <v>1054</v>
      </c>
      <c r="C338" s="15" t="s">
        <v>1385</v>
      </c>
      <c r="D338" s="15" t="s">
        <v>1007</v>
      </c>
      <c r="E338" s="15" t="s">
        <v>1023</v>
      </c>
      <c r="F338" s="15" t="s">
        <v>1009</v>
      </c>
      <c r="G338" s="15" t="n">
        <v>5</v>
      </c>
      <c r="H338" s="15" t="n">
        <v>2</v>
      </c>
      <c r="I338" s="15" t="n">
        <f aca="false">IF(AND(ISNUMBER(G338),ISNUMBER(H338)),G338*2-H338,"")</f>
        <v>8</v>
      </c>
      <c r="J338" s="15" t="s">
        <v>1047</v>
      </c>
      <c r="K338" s="15" t="s">
        <v>1011</v>
      </c>
      <c r="L338" s="15" t="s">
        <v>1070</v>
      </c>
      <c r="M338" s="15" t="s">
        <v>468</v>
      </c>
      <c r="N338" s="15" t="str">
        <f aca="false">IF(M338="","Not built (workbook: do not build)",IFERROR(INDEX(Pages!$F$2:$F$98,MATCH(M338,Pages!$B$2:$B$98,0)),"Not found"))</f>
        <v>MIC Minimum Investment: What It Takes to Start</v>
      </c>
      <c r="O338" s="15" t="s">
        <v>113</v>
      </c>
      <c r="P338" s="16"/>
      <c r="Q338" s="16"/>
      <c r="R338" s="16"/>
      <c r="S338" s="16"/>
      <c r="T338" s="15"/>
    </row>
    <row r="339" customFormat="false" ht="15" hidden="false" customHeight="false" outlineLevel="0" collapsed="false">
      <c r="A339" s="15" t="s">
        <v>685</v>
      </c>
      <c r="B339" s="15" t="s">
        <v>1054</v>
      </c>
      <c r="C339" s="15" t="s">
        <v>1385</v>
      </c>
      <c r="D339" s="15" t="s">
        <v>1007</v>
      </c>
      <c r="E339" s="15" t="s">
        <v>1023</v>
      </c>
      <c r="F339" s="15" t="s">
        <v>1009</v>
      </c>
      <c r="G339" s="15" t="n">
        <v>4</v>
      </c>
      <c r="H339" s="15" t="n">
        <v>1</v>
      </c>
      <c r="I339" s="15" t="n">
        <f aca="false">IF(AND(ISNUMBER(G339),ISNUMBER(H339)),G339*2-H339,"")</f>
        <v>7</v>
      </c>
      <c r="J339" s="15" t="s">
        <v>1010</v>
      </c>
      <c r="K339" s="15" t="s">
        <v>1011</v>
      </c>
      <c r="L339" s="15" t="s">
        <v>1219</v>
      </c>
      <c r="M339" s="15" t="s">
        <v>679</v>
      </c>
      <c r="N339" s="15" t="str">
        <f aca="false">IF(M339="","Not built (workbook: do not build)",IFERROR(INDEX(Pages!$F$2:$F$98,MATCH(M339,Pages!$B$2:$B$98,0)),"Not found"))</f>
        <v>Mortgage Investment Diversification and Concentration</v>
      </c>
      <c r="O339" s="15" t="s">
        <v>113</v>
      </c>
      <c r="P339" s="16"/>
      <c r="Q339" s="16"/>
      <c r="R339" s="16"/>
      <c r="S339" s="16"/>
      <c r="T339" s="15"/>
    </row>
    <row r="340" customFormat="false" ht="15" hidden="false" customHeight="false" outlineLevel="0" collapsed="false">
      <c r="A340" s="15" t="s">
        <v>383</v>
      </c>
      <c r="B340" s="15" t="s">
        <v>1054</v>
      </c>
      <c r="C340" s="15" t="s">
        <v>1385</v>
      </c>
      <c r="D340" s="15" t="s">
        <v>1007</v>
      </c>
      <c r="E340" s="15" t="s">
        <v>1023</v>
      </c>
      <c r="F340" s="15" t="s">
        <v>1009</v>
      </c>
      <c r="G340" s="15" t="n">
        <v>5</v>
      </c>
      <c r="H340" s="15" t="n">
        <v>1</v>
      </c>
      <c r="I340" s="15" t="n">
        <f aca="false">IF(AND(ISNUMBER(G340),ISNUMBER(H340)),G340*2-H340,"")</f>
        <v>9</v>
      </c>
      <c r="J340" s="15" t="s">
        <v>1047</v>
      </c>
      <c r="K340" s="15" t="s">
        <v>1011</v>
      </c>
      <c r="L340" s="15" t="s">
        <v>1163</v>
      </c>
      <c r="M340" s="15" t="s">
        <v>377</v>
      </c>
      <c r="N340" s="15" t="str">
        <f aca="false">IF(M340="","Not built (workbook: do not build)",IFERROR(INDEX(Pages!$F$2:$F$98,MATCH(M340,Pages!$B$2:$B$98,0)),"Not found"))</f>
        <v>Net Yield vs Gross Yield on a Mortgage Investment</v>
      </c>
      <c r="O340" s="15" t="s">
        <v>113</v>
      </c>
      <c r="P340" s="16"/>
      <c r="Q340" s="16"/>
      <c r="R340" s="16"/>
      <c r="S340" s="16"/>
      <c r="T340" s="15"/>
    </row>
    <row r="341" customFormat="false" ht="15" hidden="false" customHeight="false" outlineLevel="0" collapsed="false">
      <c r="A341" s="15" t="s">
        <v>310</v>
      </c>
      <c r="B341" s="15" t="s">
        <v>1054</v>
      </c>
      <c r="C341" s="15" t="s">
        <v>1385</v>
      </c>
      <c r="D341" s="15" t="s">
        <v>1007</v>
      </c>
      <c r="E341" s="15" t="s">
        <v>1023</v>
      </c>
      <c r="F341" s="15" t="s">
        <v>1009</v>
      </c>
      <c r="G341" s="15" t="n">
        <v>5</v>
      </c>
      <c r="H341" s="15" t="n">
        <v>1</v>
      </c>
      <c r="I341" s="15" t="n">
        <f aca="false">IF(AND(ISNUMBER(G341),ISNUMBER(H341)),G341*2-H341,"")</f>
        <v>9</v>
      </c>
      <c r="J341" s="15" t="s">
        <v>1047</v>
      </c>
      <c r="K341" s="15" t="s">
        <v>1011</v>
      </c>
      <c r="L341" s="15" t="s">
        <v>1204</v>
      </c>
      <c r="M341" s="15" t="s">
        <v>304</v>
      </c>
      <c r="N341" s="15" t="str">
        <f aca="false">IF(M341="","Not built (workbook: do not build)",IFERROR(INDEX(Pages!$F$2:$F$98,MATCH(M341,Pages!$B$2:$B$98,0)),"Not found"))</f>
        <v>The Cost of Enforcing a Mortgage Investment | Lendmax Capital MIC</v>
      </c>
      <c r="O341" s="15" t="s">
        <v>113</v>
      </c>
      <c r="P341" s="16"/>
      <c r="Q341" s="16"/>
      <c r="R341" s="16"/>
      <c r="S341" s="16"/>
      <c r="T341" s="15"/>
    </row>
    <row r="342" customFormat="false" ht="23.85" hidden="false" customHeight="false" outlineLevel="0" collapsed="false">
      <c r="A342" s="15" t="s">
        <v>243</v>
      </c>
      <c r="B342" s="15" t="s">
        <v>1054</v>
      </c>
      <c r="C342" s="15" t="s">
        <v>1385</v>
      </c>
      <c r="D342" s="15" t="s">
        <v>1007</v>
      </c>
      <c r="E342" s="15" t="s">
        <v>1023</v>
      </c>
      <c r="F342" s="15" t="s">
        <v>1009</v>
      </c>
      <c r="G342" s="15" t="n">
        <v>5</v>
      </c>
      <c r="H342" s="15" t="n">
        <v>2</v>
      </c>
      <c r="I342" s="15" t="n">
        <f aca="false">IF(AND(ISNUMBER(G342),ISNUMBER(H342)),G342*2-H342,"")</f>
        <v>8</v>
      </c>
      <c r="J342" s="15" t="s">
        <v>1047</v>
      </c>
      <c r="K342" s="15" t="s">
        <v>1011</v>
      </c>
      <c r="L342" s="15" t="s">
        <v>1204</v>
      </c>
      <c r="M342" s="15" t="s">
        <v>237</v>
      </c>
      <c r="N342" s="15" t="str">
        <f aca="false">IF(M342="","Not built (workbook: do not build)",IFERROR(INDEX(Pages!$F$2:$F$98,MATCH(M342,Pages!$B$2:$B$98,0)),"Not found"))</f>
        <v>Borrower Default on a Mortgage Investment | Lendmax Capital MIC</v>
      </c>
      <c r="O342" s="15" t="s">
        <v>113</v>
      </c>
      <c r="P342" s="16"/>
      <c r="Q342" s="16"/>
      <c r="R342" s="16"/>
      <c r="S342" s="16"/>
      <c r="T342" s="15"/>
    </row>
    <row r="343" customFormat="false" ht="15" hidden="false" customHeight="false" outlineLevel="0" collapsed="false">
      <c r="A343" s="15" t="s">
        <v>834</v>
      </c>
      <c r="B343" s="15" t="s">
        <v>1054</v>
      </c>
      <c r="C343" s="15" t="s">
        <v>1385</v>
      </c>
      <c r="D343" s="15" t="s">
        <v>1007</v>
      </c>
      <c r="E343" s="15" t="s">
        <v>1023</v>
      </c>
      <c r="F343" s="15" t="s">
        <v>1009</v>
      </c>
      <c r="G343" s="15" t="n">
        <v>5</v>
      </c>
      <c r="H343" s="15" t="n">
        <v>1</v>
      </c>
      <c r="I343" s="15" t="n">
        <f aca="false">IF(AND(ISNUMBER(G343),ISNUMBER(H343)),G343*2-H343,"")</f>
        <v>9</v>
      </c>
      <c r="J343" s="15" t="s">
        <v>1047</v>
      </c>
      <c r="K343" s="15" t="s">
        <v>1011</v>
      </c>
      <c r="L343" s="15" t="s">
        <v>1204</v>
      </c>
      <c r="M343" s="15" t="s">
        <v>828</v>
      </c>
      <c r="N343" s="15" t="str">
        <f aca="false">IF(M343="","Not built (workbook: do not build)",IFERROR(INDEX(Pages!$F$2:$F$98,MATCH(M343,Pages!$B$2:$B$98,0)),"Not found"))</f>
        <v>Property Marketability Risk in a Mortgage Investment</v>
      </c>
      <c r="O343" s="15" t="s">
        <v>113</v>
      </c>
      <c r="P343" s="16"/>
      <c r="Q343" s="16"/>
      <c r="R343" s="16"/>
      <c r="S343" s="16"/>
      <c r="T343" s="15"/>
    </row>
    <row r="344" customFormat="false" ht="15" hidden="false" customHeight="false" outlineLevel="0" collapsed="false">
      <c r="A344" s="15" t="s">
        <v>923</v>
      </c>
      <c r="B344" s="15" t="s">
        <v>1054</v>
      </c>
      <c r="C344" s="15" t="s">
        <v>1385</v>
      </c>
      <c r="D344" s="15" t="s">
        <v>1007</v>
      </c>
      <c r="E344" s="15" t="s">
        <v>1023</v>
      </c>
      <c r="F344" s="15" t="s">
        <v>1009</v>
      </c>
      <c r="G344" s="15" t="n">
        <v>4</v>
      </c>
      <c r="H344" s="15" t="n">
        <v>1</v>
      </c>
      <c r="I344" s="15" t="n">
        <f aca="false">IF(AND(ISNUMBER(G344),ISNUMBER(H344)),G344*2-H344,"")</f>
        <v>7</v>
      </c>
      <c r="J344" s="15" t="s">
        <v>1010</v>
      </c>
      <c r="K344" s="15" t="s">
        <v>1011</v>
      </c>
      <c r="L344" s="15" t="s">
        <v>1130</v>
      </c>
      <c r="M344" s="15" t="s">
        <v>917</v>
      </c>
      <c r="N344" s="15" t="str">
        <f aca="false">IF(M344="","Not built (workbook: do not build)",IFERROR(INDEX(Pages!$F$2:$F$98,MATCH(M344,Pages!$B$2:$B$98,0)),"Not found"))</f>
        <v>Title Search for a Mortgage Investment: What to Check</v>
      </c>
      <c r="O344" s="15" t="s">
        <v>113</v>
      </c>
      <c r="P344" s="16"/>
      <c r="Q344" s="16"/>
      <c r="R344" s="16"/>
      <c r="S344" s="16"/>
      <c r="T344" s="15"/>
    </row>
    <row r="345" customFormat="false" ht="15" hidden="false" customHeight="false" outlineLevel="0" collapsed="false">
      <c r="A345" s="15" t="s">
        <v>456</v>
      </c>
      <c r="B345" s="15" t="s">
        <v>1054</v>
      </c>
      <c r="C345" s="15" t="s">
        <v>1385</v>
      </c>
      <c r="D345" s="15" t="s">
        <v>1007</v>
      </c>
      <c r="E345" s="15" t="s">
        <v>1023</v>
      </c>
      <c r="F345" s="15" t="s">
        <v>1009</v>
      </c>
      <c r="G345" s="15" t="n">
        <v>5</v>
      </c>
      <c r="H345" s="15" t="n">
        <v>1</v>
      </c>
      <c r="I345" s="15" t="n">
        <f aca="false">IF(AND(ISNUMBER(G345),ISNUMBER(H345)),G345*2-H345,"")</f>
        <v>9</v>
      </c>
      <c r="J345" s="15" t="s">
        <v>1047</v>
      </c>
      <c r="K345" s="15" t="s">
        <v>1011</v>
      </c>
      <c r="L345" s="15" t="s">
        <v>1085</v>
      </c>
      <c r="M345" s="15" t="s">
        <v>450</v>
      </c>
      <c r="N345" s="15" t="str">
        <f aca="false">IF(M345="","Not built (workbook: do not build)",IFERROR(INDEX(Pages!$F$2:$F$98,MATCH(M345,Pages!$B$2:$B$98,0)),"Not found"))</f>
        <v>Liquidity Risk in a Mortgage Investment: Redemption</v>
      </c>
      <c r="O345" s="15" t="s">
        <v>113</v>
      </c>
      <c r="P345" s="16"/>
      <c r="Q345" s="16"/>
      <c r="R345" s="16"/>
      <c r="S345" s="16"/>
      <c r="T345" s="15"/>
    </row>
    <row r="346" customFormat="false" ht="15" hidden="false" customHeight="false" outlineLevel="0" collapsed="false">
      <c r="A346" s="15" t="s">
        <v>789</v>
      </c>
      <c r="B346" s="15" t="s">
        <v>1054</v>
      </c>
      <c r="C346" s="15" t="s">
        <v>1385</v>
      </c>
      <c r="D346" s="15" t="s">
        <v>1007</v>
      </c>
      <c r="E346" s="15" t="s">
        <v>1023</v>
      </c>
      <c r="F346" s="15" t="s">
        <v>1009</v>
      </c>
      <c r="G346" s="15" t="n">
        <v>4</v>
      </c>
      <c r="H346" s="15" t="n">
        <v>1</v>
      </c>
      <c r="I346" s="15" t="n">
        <f aca="false">IF(AND(ISNUMBER(G346),ISNUMBER(H346)),G346*2-H346,"")</f>
        <v>7</v>
      </c>
      <c r="J346" s="15" t="s">
        <v>1010</v>
      </c>
      <c r="K346" s="15" t="s">
        <v>1011</v>
      </c>
      <c r="L346" s="15" t="s">
        <v>1172</v>
      </c>
      <c r="M346" s="15" t="s">
        <v>783</v>
      </c>
      <c r="N346" s="15" t="str">
        <f aca="false">IF(M346="","Not built (workbook: do not build)",IFERROR(INDEX(Pages!$F$2:$F$98,MATCH(M346,Pages!$B$2:$B$98,0)),"Not found"))</f>
        <v>Mortgage Investment Term Length, Renewals and Exits</v>
      </c>
      <c r="O346" s="15" t="s">
        <v>113</v>
      </c>
      <c r="P346" s="16"/>
      <c r="Q346" s="16"/>
      <c r="R346" s="16"/>
      <c r="S346" s="16"/>
      <c r="T346" s="15"/>
    </row>
    <row r="347" customFormat="false" ht="15" hidden="false" customHeight="false" outlineLevel="0" collapsed="false">
      <c r="A347" s="15" t="s">
        <v>1410</v>
      </c>
      <c r="B347" s="15" t="s">
        <v>1054</v>
      </c>
      <c r="C347" s="15" t="s">
        <v>1385</v>
      </c>
      <c r="D347" s="15" t="s">
        <v>1007</v>
      </c>
      <c r="E347" s="15" t="s">
        <v>1023</v>
      </c>
      <c r="F347" s="15" t="s">
        <v>1009</v>
      </c>
      <c r="G347" s="15" t="n">
        <v>4</v>
      </c>
      <c r="H347" s="15" t="n">
        <v>1</v>
      </c>
      <c r="I347" s="15" t="n">
        <f aca="false">IF(AND(ISNUMBER(G347),ISNUMBER(H347)),G347*2-H347,"")</f>
        <v>7</v>
      </c>
      <c r="J347" s="15" t="s">
        <v>1010</v>
      </c>
      <c r="K347" s="15" t="s">
        <v>1011</v>
      </c>
      <c r="L347" s="15" t="s">
        <v>1204</v>
      </c>
      <c r="M347" s="15" t="s">
        <v>237</v>
      </c>
      <c r="N347" s="15" t="str">
        <f aca="false">IF(M347="","Not built (workbook: do not build)",IFERROR(INDEX(Pages!$F$2:$F$98,MATCH(M347,Pages!$B$2:$B$98,0)),"Not found"))</f>
        <v>Borrower Default on a Mortgage Investment | Lendmax Capital MIC</v>
      </c>
      <c r="O347" s="15" t="s">
        <v>113</v>
      </c>
      <c r="P347" s="16"/>
      <c r="Q347" s="16"/>
      <c r="R347" s="16"/>
      <c r="S347" s="16"/>
      <c r="T347" s="15"/>
    </row>
    <row r="348" customFormat="false" ht="15" hidden="false" customHeight="false" outlineLevel="0" collapsed="false">
      <c r="A348" s="15" t="s">
        <v>1411</v>
      </c>
      <c r="B348" s="15" t="s">
        <v>1054</v>
      </c>
      <c r="C348" s="15" t="s">
        <v>1385</v>
      </c>
      <c r="D348" s="15" t="s">
        <v>1007</v>
      </c>
      <c r="E348" s="15" t="s">
        <v>1023</v>
      </c>
      <c r="F348" s="15" t="s">
        <v>1009</v>
      </c>
      <c r="G348" s="15" t="n">
        <v>5</v>
      </c>
      <c r="H348" s="15" t="n">
        <v>1</v>
      </c>
      <c r="I348" s="15" t="n">
        <f aca="false">IF(AND(ISNUMBER(G348),ISNUMBER(H348)),G348*2-H348,"")</f>
        <v>9</v>
      </c>
      <c r="J348" s="15" t="s">
        <v>1047</v>
      </c>
      <c r="K348" s="15" t="s">
        <v>1011</v>
      </c>
      <c r="L348" s="15" t="s">
        <v>1085</v>
      </c>
      <c r="M348" s="15" t="s">
        <v>450</v>
      </c>
      <c r="N348" s="15" t="str">
        <f aca="false">IF(M348="","Not built (workbook: do not build)",IFERROR(INDEX(Pages!$F$2:$F$98,MATCH(M348,Pages!$B$2:$B$98,0)),"Not found"))</f>
        <v>Liquidity Risk in a Mortgage Investment: Redemption</v>
      </c>
      <c r="O348" s="15" t="s">
        <v>113</v>
      </c>
      <c r="P348" s="16"/>
      <c r="Q348" s="16"/>
      <c r="R348" s="16"/>
      <c r="S348" s="16"/>
      <c r="T348" s="15"/>
    </row>
    <row r="349" customFormat="false" ht="15" hidden="false" customHeight="false" outlineLevel="0" collapsed="false">
      <c r="A349" s="15" t="s">
        <v>356</v>
      </c>
      <c r="B349" s="15" t="s">
        <v>1054</v>
      </c>
      <c r="C349" s="15" t="s">
        <v>1385</v>
      </c>
      <c r="D349" s="15" t="s">
        <v>1007</v>
      </c>
      <c r="E349" s="15" t="s">
        <v>1023</v>
      </c>
      <c r="F349" s="15" t="s">
        <v>1009</v>
      </c>
      <c r="G349" s="15" t="n">
        <v>5</v>
      </c>
      <c r="H349" s="15" t="n">
        <v>1</v>
      </c>
      <c r="I349" s="15" t="n">
        <f aca="false">IF(AND(ISNUMBER(G349),ISNUMBER(H349)),G349*2-H349,"")</f>
        <v>9</v>
      </c>
      <c r="J349" s="15" t="s">
        <v>1047</v>
      </c>
      <c r="K349" s="15" t="s">
        <v>1011</v>
      </c>
      <c r="L349" s="15" t="s">
        <v>1123</v>
      </c>
      <c r="M349" s="15" t="s">
        <v>349</v>
      </c>
      <c r="N349" s="15" t="str">
        <f aca="false">IF(M349="","Not built (workbook: do not build)",IFERROR(INDEX(Pages!$F$2:$F$98,MATCH(M349,Pages!$B$2:$B$98,0)),"Not found"))</f>
        <v>First vs Second Mortgage Investing: What Position Costs</v>
      </c>
      <c r="O349" s="15" t="s">
        <v>113</v>
      </c>
      <c r="P349" s="16"/>
      <c r="Q349" s="16"/>
      <c r="R349" s="16"/>
      <c r="S349" s="16"/>
      <c r="T349" s="15"/>
    </row>
    <row r="350" customFormat="false" ht="15" hidden="false" customHeight="false" outlineLevel="0" collapsed="false">
      <c r="A350" s="15" t="s">
        <v>519</v>
      </c>
      <c r="B350" s="15" t="s">
        <v>1054</v>
      </c>
      <c r="C350" s="15" t="s">
        <v>1385</v>
      </c>
      <c r="D350" s="15" t="s">
        <v>1007</v>
      </c>
      <c r="E350" s="15" t="s">
        <v>1023</v>
      </c>
      <c r="F350" s="15" t="s">
        <v>1009</v>
      </c>
      <c r="G350" s="15" t="n">
        <v>5</v>
      </c>
      <c r="H350" s="15" t="n">
        <v>5</v>
      </c>
      <c r="I350" s="15" t="n">
        <f aca="false">IF(AND(ISNUMBER(G350),ISNUMBER(H350)),G350*2-H350,"")</f>
        <v>5</v>
      </c>
      <c r="J350" s="15" t="s">
        <v>1019</v>
      </c>
      <c r="K350" s="15" t="s">
        <v>1011</v>
      </c>
      <c r="L350" s="15" t="s">
        <v>1273</v>
      </c>
      <c r="M350" s="15" t="s">
        <v>513</v>
      </c>
      <c r="N350" s="15" t="str">
        <f aca="false">IF(M350="","Not built (workbook: do not build)",IFERROR(INDEX(Pages!$F$2:$F$98,MATCH(M350,Pages!$B$2:$B$98,0)),"Not found"))</f>
        <v>MIC vs REIT in Canada: Debt Income or Equity</v>
      </c>
      <c r="O350" s="15" t="s">
        <v>113</v>
      </c>
      <c r="P350" s="16"/>
      <c r="Q350" s="16"/>
      <c r="R350" s="16"/>
      <c r="S350" s="16"/>
      <c r="T350" s="15"/>
    </row>
    <row r="351" customFormat="false" ht="15" hidden="false" customHeight="false" outlineLevel="0" collapsed="false">
      <c r="A351" s="15" t="s">
        <v>1412</v>
      </c>
      <c r="B351" s="15" t="s">
        <v>1054</v>
      </c>
      <c r="C351" s="15" t="s">
        <v>1385</v>
      </c>
      <c r="D351" s="15" t="s">
        <v>1007</v>
      </c>
      <c r="E351" s="15" t="s">
        <v>1023</v>
      </c>
      <c r="F351" s="15" t="s">
        <v>1009</v>
      </c>
      <c r="G351" s="15" t="n">
        <v>5</v>
      </c>
      <c r="H351" s="15" t="n">
        <v>4</v>
      </c>
      <c r="I351" s="15" t="n">
        <f aca="false">IF(AND(ISNUMBER(G351),ISNUMBER(H351)),G351*2-H351,"")</f>
        <v>6</v>
      </c>
      <c r="J351" s="15" t="s">
        <v>1010</v>
      </c>
      <c r="K351" s="15" t="s">
        <v>1011</v>
      </c>
      <c r="L351" s="15" t="s">
        <v>1274</v>
      </c>
      <c r="M351" s="15" t="s">
        <v>662</v>
      </c>
      <c r="N351" s="15" t="str">
        <f aca="false">IF(M351="","Not built (workbook: do not build)",IFERROR(INDEX(Pages!$F$2:$F$98,MATCH(M351,Pages!$B$2:$B$98,0)),"Not found"))</f>
        <v>Mortgage Investing vs GICs: Yield and Insurance</v>
      </c>
      <c r="O351" s="15" t="s">
        <v>113</v>
      </c>
      <c r="P351" s="16"/>
      <c r="Q351" s="16"/>
      <c r="R351" s="16"/>
      <c r="S351" s="16"/>
      <c r="T351" s="15"/>
    </row>
    <row r="352" customFormat="false" ht="15" hidden="false" customHeight="false" outlineLevel="0" collapsed="false">
      <c r="A352" s="15" t="s">
        <v>676</v>
      </c>
      <c r="B352" s="15" t="s">
        <v>1054</v>
      </c>
      <c r="C352" s="15" t="s">
        <v>1385</v>
      </c>
      <c r="D352" s="15" t="s">
        <v>1007</v>
      </c>
      <c r="E352" s="15" t="s">
        <v>1023</v>
      </c>
      <c r="F352" s="15" t="s">
        <v>1009</v>
      </c>
      <c r="G352" s="15" t="n">
        <v>5</v>
      </c>
      <c r="H352" s="15" t="n">
        <v>2</v>
      </c>
      <c r="I352" s="15" t="n">
        <f aca="false">IF(AND(ISNUMBER(G352),ISNUMBER(H352)),G352*2-H352,"")</f>
        <v>8</v>
      </c>
      <c r="J352" s="15" t="s">
        <v>1047</v>
      </c>
      <c r="K352" s="15" t="s">
        <v>1011</v>
      </c>
      <c r="L352" s="15" t="s">
        <v>1279</v>
      </c>
      <c r="M352" s="15" t="s">
        <v>671</v>
      </c>
      <c r="N352" s="15" t="str">
        <f aca="false">IF(M352="","Not built (workbook: do not build)",IFERROR(INDEX(Pages!$F$2:$F$98,MATCH(M352,Pages!$B$2:$B$98,0)),"Not found"))</f>
        <v>Mortgage Investing vs Owning a Rental Property</v>
      </c>
      <c r="O352" s="15" t="s">
        <v>113</v>
      </c>
      <c r="P352" s="16"/>
      <c r="Q352" s="16"/>
      <c r="R352" s="16"/>
      <c r="S352" s="16"/>
      <c r="T352" s="15"/>
    </row>
    <row r="353" customFormat="false" ht="15" hidden="false" customHeight="false" outlineLevel="0" collapsed="false">
      <c r="A353" s="15" t="s">
        <v>1413</v>
      </c>
      <c r="B353" s="15" t="s">
        <v>1054</v>
      </c>
      <c r="C353" s="15" t="s">
        <v>1385</v>
      </c>
      <c r="D353" s="15" t="s">
        <v>1007</v>
      </c>
      <c r="E353" s="15" t="s">
        <v>1023</v>
      </c>
      <c r="F353" s="15" t="s">
        <v>1009</v>
      </c>
      <c r="G353" s="15" t="n">
        <v>5</v>
      </c>
      <c r="H353" s="15" t="n">
        <v>1</v>
      </c>
      <c r="I353" s="15" t="n">
        <f aca="false">IF(AND(ISNUMBER(G353),ISNUMBER(H353)),G353*2-H353,"")</f>
        <v>9</v>
      </c>
      <c r="J353" s="15" t="s">
        <v>1047</v>
      </c>
      <c r="K353" s="15" t="s">
        <v>1011</v>
      </c>
      <c r="L353" s="15" t="s">
        <v>1123</v>
      </c>
      <c r="M353" s="15" t="s">
        <v>349</v>
      </c>
      <c r="N353" s="15" t="str">
        <f aca="false">IF(M353="","Not built (workbook: do not build)",IFERROR(INDEX(Pages!$F$2:$F$98,MATCH(M353,Pages!$B$2:$B$98,0)),"Not found"))</f>
        <v>First vs Second Mortgage Investing: What Position Costs</v>
      </c>
      <c r="O353" s="15" t="s">
        <v>113</v>
      </c>
      <c r="P353" s="16"/>
      <c r="Q353" s="16"/>
      <c r="R353" s="16"/>
      <c r="S353" s="16"/>
      <c r="T353" s="15"/>
    </row>
    <row r="354" customFormat="false" ht="15" hidden="false" customHeight="false" outlineLevel="0" collapsed="false">
      <c r="A354" s="15" t="s">
        <v>501</v>
      </c>
      <c r="B354" s="15" t="s">
        <v>1054</v>
      </c>
      <c r="C354" s="15" t="s">
        <v>1385</v>
      </c>
      <c r="D354" s="15" t="s">
        <v>1007</v>
      </c>
      <c r="E354" s="15" t="s">
        <v>1023</v>
      </c>
      <c r="F354" s="15" t="s">
        <v>1009</v>
      </c>
      <c r="G354" s="15" t="n">
        <v>5</v>
      </c>
      <c r="H354" s="15" t="n">
        <v>2</v>
      </c>
      <c r="I354" s="15" t="n">
        <f aca="false">IF(AND(ISNUMBER(G354),ISNUMBER(H354)),G354*2-H354,"")</f>
        <v>8</v>
      </c>
      <c r="J354" s="15" t="s">
        <v>1047</v>
      </c>
      <c r="K354" s="15" t="s">
        <v>1011</v>
      </c>
      <c r="L354" s="15" t="s">
        <v>1061</v>
      </c>
      <c r="M354" s="15" t="s">
        <v>495</v>
      </c>
      <c r="N354" s="15" t="str">
        <f aca="false">IF(M354="","Not built (workbook: do not build)",IFERROR(INDEX(Pages!$F$2:$F$98,MATCH(M354,Pages!$B$2:$B$98,0)),"Not found"))</f>
        <v>MIC vs Direct Mortgage Investing: Pooled or Your Own</v>
      </c>
      <c r="O354" s="15" t="s">
        <v>113</v>
      </c>
      <c r="P354" s="16"/>
      <c r="Q354" s="16"/>
      <c r="R354" s="16"/>
      <c r="S354" s="16"/>
      <c r="T354" s="15"/>
    </row>
    <row r="355" customFormat="false" ht="15" hidden="false" customHeight="false" outlineLevel="0" collapsed="false">
      <c r="A355" s="15" t="s">
        <v>651</v>
      </c>
      <c r="B355" s="15" t="s">
        <v>1054</v>
      </c>
      <c r="C355" s="15" t="s">
        <v>1385</v>
      </c>
      <c r="D355" s="15" t="s">
        <v>1007</v>
      </c>
      <c r="E355" s="15" t="s">
        <v>1023</v>
      </c>
      <c r="F355" s="15" t="s">
        <v>1009</v>
      </c>
      <c r="G355" s="15" t="n">
        <v>5</v>
      </c>
      <c r="H355" s="15" t="n">
        <v>1</v>
      </c>
      <c r="I355" s="15" t="n">
        <f aca="false">IF(AND(ISNUMBER(G355),ISNUMBER(H355)),G355*2-H355,"")</f>
        <v>9</v>
      </c>
      <c r="J355" s="15" t="s">
        <v>1047</v>
      </c>
      <c r="K355" s="15" t="s">
        <v>1011</v>
      </c>
      <c r="L355" s="15" t="s">
        <v>1276</v>
      </c>
      <c r="M355" s="15" t="s">
        <v>646</v>
      </c>
      <c r="N355" s="15" t="str">
        <f aca="false">IF(M355="","Not built (workbook: do not build)",IFERROR(INDEX(Pages!$F$2:$F$98,MATCH(M355,Pages!$B$2:$B$98,0)),"Not found"))</f>
        <v>Mortgage Investing vs Bonds: Two Kinds of Fixed Income</v>
      </c>
      <c r="O355" s="15" t="s">
        <v>113</v>
      </c>
      <c r="P355" s="16"/>
      <c r="Q355" s="16"/>
      <c r="R355" s="16"/>
      <c r="S355" s="16"/>
      <c r="T355" s="15"/>
    </row>
    <row r="356" customFormat="false" ht="15" hidden="false" customHeight="false" outlineLevel="0" collapsed="false">
      <c r="A356" s="15" t="s">
        <v>878</v>
      </c>
      <c r="B356" s="15" t="s">
        <v>1054</v>
      </c>
      <c r="C356" s="15" t="s">
        <v>1385</v>
      </c>
      <c r="D356" s="15" t="s">
        <v>1007</v>
      </c>
      <c r="E356" s="15" t="s">
        <v>1023</v>
      </c>
      <c r="F356" s="15" t="s">
        <v>1009</v>
      </c>
      <c r="G356" s="15" t="n">
        <v>4</v>
      </c>
      <c r="H356" s="15" t="n">
        <v>1</v>
      </c>
      <c r="I356" s="15" t="n">
        <f aca="false">IF(AND(ISNUMBER(G356),ISNUMBER(H356)),G356*2-H356,"")</f>
        <v>7</v>
      </c>
      <c r="J356" s="15" t="s">
        <v>1010</v>
      </c>
      <c r="K356" s="15" t="s">
        <v>1011</v>
      </c>
      <c r="L356" s="15" t="s">
        <v>1138</v>
      </c>
      <c r="M356" s="15" t="s">
        <v>873</v>
      </c>
      <c r="N356" s="15" t="str">
        <f aca="false">IF(M356="","Not built (workbook: do not build)",IFERROR(INDEX(Pages!$F$2:$F$98,MATCH(M356,Pages!$B$2:$B$98,0)),"Not found"))</f>
        <v>Residential vs Commercial Mortgage Investing</v>
      </c>
      <c r="O356" s="15" t="s">
        <v>113</v>
      </c>
      <c r="P356" s="16"/>
      <c r="Q356" s="16"/>
      <c r="R356" s="16"/>
      <c r="S356" s="16"/>
      <c r="T356" s="15"/>
    </row>
    <row r="357" customFormat="false" ht="15" hidden="false" customHeight="false" outlineLevel="0" collapsed="false">
      <c r="A357" s="15" t="s">
        <v>151</v>
      </c>
      <c r="B357" s="15" t="s">
        <v>1054</v>
      </c>
      <c r="C357" s="15" t="s">
        <v>1385</v>
      </c>
      <c r="D357" s="15" t="s">
        <v>1007</v>
      </c>
      <c r="E357" s="15" t="s">
        <v>1023</v>
      </c>
      <c r="F357" s="15" t="s">
        <v>1009</v>
      </c>
      <c r="G357" s="15" t="n">
        <v>5</v>
      </c>
      <c r="H357" s="15" t="n">
        <v>4</v>
      </c>
      <c r="I357" s="15" t="n">
        <f aca="false">IF(AND(ISNUMBER(G357),ISNUMBER(H357)),G357*2-H357,"")</f>
        <v>6</v>
      </c>
      <c r="J357" s="15" t="s">
        <v>1010</v>
      </c>
      <c r="K357" s="15" t="s">
        <v>1011</v>
      </c>
      <c r="L357" s="15" t="s">
        <v>1073</v>
      </c>
      <c r="M357" s="15" t="s">
        <v>147</v>
      </c>
      <c r="N357" s="15" t="str">
        <f aca="false">IF(M357="","Not built (workbook: do not build)",IFERROR(INDEX(Pages!$F$2:$F$98,MATCH(M357,Pages!$B$2:$B$98,0)),"Not found"))</f>
        <v>Why Invest in a MIC? How a Mortgage Investment Corporation Works</v>
      </c>
      <c r="O357" s="15" t="s">
        <v>113</v>
      </c>
      <c r="P357" s="16"/>
      <c r="Q357" s="16"/>
      <c r="R357" s="16"/>
      <c r="S357" s="16"/>
      <c r="T357" s="15"/>
    </row>
    <row r="358" customFormat="false" ht="15" hidden="false" customHeight="false" outlineLevel="0" collapsed="false">
      <c r="A358" s="15" t="s">
        <v>428</v>
      </c>
      <c r="B358" s="15" t="s">
        <v>1054</v>
      </c>
      <c r="C358" s="15" t="s">
        <v>1385</v>
      </c>
      <c r="D358" s="15" t="s">
        <v>1007</v>
      </c>
      <c r="E358" s="15" t="s">
        <v>1023</v>
      </c>
      <c r="F358" s="15" t="s">
        <v>1009</v>
      </c>
      <c r="G358" s="15" t="n">
        <v>5</v>
      </c>
      <c r="H358" s="15" t="n">
        <v>3</v>
      </c>
      <c r="I358" s="15" t="n">
        <f aca="false">IF(AND(ISNUMBER(G358),ISNUMBER(H358)),G358*2-H358,"")</f>
        <v>7</v>
      </c>
      <c r="J358" s="15" t="s">
        <v>1010</v>
      </c>
      <c r="K358" s="15" t="s">
        <v>1011</v>
      </c>
      <c r="L358" s="15" t="s">
        <v>1043</v>
      </c>
      <c r="M358" s="15" t="s">
        <v>422</v>
      </c>
      <c r="N358" s="15" t="str">
        <f aca="false">IF(M358="","Not built (workbook: do not build)",IFERROR(INDEX(Pages!$F$2:$F$98,MATCH(M358,Pages!$B$2:$B$98,0)),"Not found"))</f>
        <v>How Private Mortgage Investing Works in Canada</v>
      </c>
      <c r="O358" s="15" t="s">
        <v>113</v>
      </c>
      <c r="P358" s="16"/>
      <c r="Q358" s="16"/>
      <c r="R358" s="16"/>
      <c r="S358" s="16"/>
      <c r="T358" s="15"/>
    </row>
    <row r="359" customFormat="false" ht="15" hidden="false" customHeight="false" outlineLevel="0" collapsed="false">
      <c r="A359" s="15" t="s">
        <v>410</v>
      </c>
      <c r="B359" s="15" t="s">
        <v>1054</v>
      </c>
      <c r="C359" s="15" t="s">
        <v>1385</v>
      </c>
      <c r="D359" s="15" t="s">
        <v>1007</v>
      </c>
      <c r="E359" s="15" t="s">
        <v>1023</v>
      </c>
      <c r="F359" s="15" t="s">
        <v>1009</v>
      </c>
      <c r="G359" s="15" t="n">
        <v>5</v>
      </c>
      <c r="H359" s="15" t="n">
        <v>2</v>
      </c>
      <c r="I359" s="15" t="n">
        <f aca="false">IF(AND(ISNUMBER(G359),ISNUMBER(H359)),G359*2-H359,"")</f>
        <v>8</v>
      </c>
      <c r="J359" s="15" t="s">
        <v>1047</v>
      </c>
      <c r="K359" s="15" t="s">
        <v>1011</v>
      </c>
      <c r="L359" s="15" t="s">
        <v>1160</v>
      </c>
      <c r="M359" s="15" t="s">
        <v>404</v>
      </c>
      <c r="N359" s="15" t="str">
        <f aca="false">IF(M359="","Not built (workbook: do not build)",IFERROR(INDEX(Pages!$F$2:$F$98,MATCH(M359,Pages!$B$2:$B$98,0)),"Not found"))</f>
        <v>How Do Mortgage Investors Make Money? | Lendmax Capital MIC</v>
      </c>
      <c r="O359" s="15" t="s">
        <v>113</v>
      </c>
      <c r="P359" s="16"/>
      <c r="Q359" s="16"/>
      <c r="R359" s="16"/>
      <c r="S359" s="16"/>
      <c r="T359" s="15"/>
    </row>
    <row r="360" customFormat="false" ht="15" hidden="false" customHeight="false" outlineLevel="0" collapsed="false">
      <c r="A360" s="15" t="s">
        <v>816</v>
      </c>
      <c r="B360" s="15" t="s">
        <v>1054</v>
      </c>
      <c r="C360" s="15" t="s">
        <v>1385</v>
      </c>
      <c r="D360" s="15" t="s">
        <v>1007</v>
      </c>
      <c r="E360" s="15" t="s">
        <v>1023</v>
      </c>
      <c r="F360" s="15" t="s">
        <v>1009</v>
      </c>
      <c r="G360" s="15" t="n">
        <v>5</v>
      </c>
      <c r="H360" s="15" t="n">
        <v>2</v>
      </c>
      <c r="I360" s="15" t="n">
        <f aca="false">IF(AND(ISNUMBER(G360),ISNUMBER(H360)),G360*2-H360,"")</f>
        <v>8</v>
      </c>
      <c r="J360" s="15" t="s">
        <v>1047</v>
      </c>
      <c r="K360" s="15" t="s">
        <v>1011</v>
      </c>
      <c r="L360" s="15" t="s">
        <v>1230</v>
      </c>
      <c r="M360" s="15" t="s">
        <v>810</v>
      </c>
      <c r="N360" s="15" t="str">
        <f aca="false">IF(M360="","Not built (workbook: do not build)",IFERROR(INDEX(Pages!$F$2:$F$98,MATCH(M360,Pages!$B$2:$B$98,0)),"Not found"))</f>
        <v>Power of Sale in Canada: What It Means for Investors</v>
      </c>
      <c r="O360" s="15" t="s">
        <v>113</v>
      </c>
      <c r="P360" s="16"/>
      <c r="Q360" s="16"/>
      <c r="R360" s="16"/>
      <c r="S360" s="16"/>
      <c r="T360" s="15"/>
    </row>
    <row r="361" customFormat="false" ht="15" hidden="false" customHeight="false" outlineLevel="0" collapsed="false">
      <c r="A361" s="15" t="s">
        <v>546</v>
      </c>
      <c r="B361" s="15" t="s">
        <v>1054</v>
      </c>
      <c r="C361" s="15" t="s">
        <v>1385</v>
      </c>
      <c r="D361" s="15" t="s">
        <v>1007</v>
      </c>
      <c r="E361" s="15" t="s">
        <v>1023</v>
      </c>
      <c r="F361" s="15" t="s">
        <v>1009</v>
      </c>
      <c r="G361" s="15" t="n">
        <v>4</v>
      </c>
      <c r="H361" s="15" t="n">
        <v>1</v>
      </c>
      <c r="I361" s="15" t="n">
        <f aca="false">IF(AND(ISNUMBER(G361),ISNUMBER(H361)),G361*2-H361,"")</f>
        <v>7</v>
      </c>
      <c r="J361" s="15" t="s">
        <v>1010</v>
      </c>
      <c r="K361" s="15" t="s">
        <v>1011</v>
      </c>
      <c r="L361" s="15" t="s">
        <v>1237</v>
      </c>
      <c r="M361" s="15" t="s">
        <v>540</v>
      </c>
      <c r="N361" s="15" t="str">
        <f aca="false">IF(M361="","Not built (workbook: do not build)",IFERROR(INDEX(Pages!$F$2:$F$98,MATCH(M361,Pages!$B$2:$B$98,0)),"Not found"))</f>
        <v>Foreclosure Process for Mortgage Investors in Canada</v>
      </c>
      <c r="O361" s="15" t="s">
        <v>113</v>
      </c>
      <c r="P361" s="16"/>
      <c r="Q361" s="16"/>
      <c r="R361" s="16"/>
      <c r="S361" s="16"/>
      <c r="T361" s="15"/>
    </row>
    <row r="362" customFormat="false" ht="15" hidden="false" customHeight="false" outlineLevel="0" collapsed="false">
      <c r="A362" s="15" t="s">
        <v>1414</v>
      </c>
      <c r="B362" s="15" t="s">
        <v>1054</v>
      </c>
      <c r="C362" s="15" t="s">
        <v>1385</v>
      </c>
      <c r="D362" s="15" t="s">
        <v>1007</v>
      </c>
      <c r="E362" s="15" t="s">
        <v>1023</v>
      </c>
      <c r="F362" s="15" t="s">
        <v>1009</v>
      </c>
      <c r="G362" s="15" t="n">
        <v>4</v>
      </c>
      <c r="H362" s="15" t="n">
        <v>1</v>
      </c>
      <c r="I362" s="15" t="n">
        <f aca="false">IF(AND(ISNUMBER(G362),ISNUMBER(H362)),G362*2-H362,"")</f>
        <v>7</v>
      </c>
      <c r="J362" s="15" t="s">
        <v>1010</v>
      </c>
      <c r="K362" s="15" t="s">
        <v>1011</v>
      </c>
      <c r="L362" s="15" t="s">
        <v>1298</v>
      </c>
      <c r="M362" s="15" t="s">
        <v>413</v>
      </c>
      <c r="N362" s="15" t="str">
        <f aca="false">IF(M362="","Not built (workbook: do not build)",IFERROR(INDEX(Pages!$F$2:$F$98,MATCH(M362,Pages!$B$2:$B$98,0)),"Not found"))</f>
        <v>How Are Mortgages Underwritten for Investors?</v>
      </c>
      <c r="O362" s="15" t="s">
        <v>113</v>
      </c>
      <c r="P362" s="16"/>
      <c r="Q362" s="16"/>
      <c r="R362" s="16"/>
      <c r="S362" s="16"/>
      <c r="T362" s="15"/>
    </row>
    <row r="363" customFormat="false" ht="15" hidden="false" customHeight="false" outlineLevel="0" collapsed="false">
      <c r="A363" s="15" t="s">
        <v>374</v>
      </c>
      <c r="B363" s="15" t="s">
        <v>1054</v>
      </c>
      <c r="C363" s="15" t="s">
        <v>1385</v>
      </c>
      <c r="D363" s="15" t="s">
        <v>1007</v>
      </c>
      <c r="E363" s="15" t="s">
        <v>1023</v>
      </c>
      <c r="F363" s="15" t="s">
        <v>1009</v>
      </c>
      <c r="G363" s="15" t="n">
        <v>4</v>
      </c>
      <c r="H363" s="15" t="n">
        <v>1</v>
      </c>
      <c r="I363" s="15" t="n">
        <f aca="false">IF(AND(ISNUMBER(G363),ISNUMBER(H363)),G363*2-H363,"")</f>
        <v>7</v>
      </c>
      <c r="J363" s="15" t="s">
        <v>1010</v>
      </c>
      <c r="K363" s="15" t="s">
        <v>1011</v>
      </c>
      <c r="L363" s="15" t="s">
        <v>1062</v>
      </c>
      <c r="M363" s="15" t="s">
        <v>368</v>
      </c>
      <c r="N363" s="15" t="str">
        <f aca="false">IF(M363="","Not built (workbook: do not build)",IFERROR(INDEX(Pages!$F$2:$F$98,MATCH(M363,Pages!$B$2:$B$98,0)),"Not found"))</f>
        <v>Fractional Mortgage Investing and Syndicated Mortgages</v>
      </c>
      <c r="O363" s="15" t="s">
        <v>113</v>
      </c>
      <c r="P363" s="16"/>
      <c r="Q363" s="16"/>
      <c r="R363" s="16"/>
      <c r="S363" s="16"/>
      <c r="T363" s="15"/>
    </row>
    <row r="364" customFormat="false" ht="15" hidden="false" customHeight="false" outlineLevel="0" collapsed="false">
      <c r="A364" s="15" t="s">
        <v>483</v>
      </c>
      <c r="B364" s="15" t="s">
        <v>1054</v>
      </c>
      <c r="C364" s="15" t="s">
        <v>1385</v>
      </c>
      <c r="D364" s="15" t="s">
        <v>1007</v>
      </c>
      <c r="E364" s="15" t="s">
        <v>1023</v>
      </c>
      <c r="F364" s="15" t="s">
        <v>1009</v>
      </c>
      <c r="G364" s="15" t="n">
        <v>4</v>
      </c>
      <c r="H364" s="15" t="n">
        <v>1</v>
      </c>
      <c r="I364" s="15" t="n">
        <f aca="false">IF(AND(ISNUMBER(G364),ISNUMBER(H364)),G364*2-H364,"")</f>
        <v>7</v>
      </c>
      <c r="J364" s="15" t="s">
        <v>1010</v>
      </c>
      <c r="K364" s="15" t="s">
        <v>1011</v>
      </c>
      <c r="L364" s="15" t="s">
        <v>1090</v>
      </c>
      <c r="M364" s="15" t="s">
        <v>477</v>
      </c>
      <c r="N364" s="15" t="str">
        <f aca="false">IF(M364="","Not built (workbook: do not build)",IFERROR(INDEX(Pages!$F$2:$F$98,MATCH(M364,Pages!$B$2:$B$98,0)),"Not found"))</f>
        <v>MIC Qualification Requirements in Canada | Lendmax Capital MIC</v>
      </c>
      <c r="O364" s="15" t="s">
        <v>113</v>
      </c>
      <c r="P364" s="16"/>
      <c r="Q364" s="16"/>
      <c r="R364" s="16"/>
      <c r="S364" s="16"/>
      <c r="T364" s="15"/>
    </row>
    <row r="365" customFormat="false" ht="15" hidden="false" customHeight="false" outlineLevel="0" collapsed="false">
      <c r="A365" s="15" t="s">
        <v>225</v>
      </c>
      <c r="B365" s="15" t="s">
        <v>1054</v>
      </c>
      <c r="C365" s="15" t="s">
        <v>1385</v>
      </c>
      <c r="D365" s="15" t="s">
        <v>1007</v>
      </c>
      <c r="E365" s="15" t="s">
        <v>1023</v>
      </c>
      <c r="F365" s="15" t="s">
        <v>1009</v>
      </c>
      <c r="G365" s="15" t="n">
        <v>4</v>
      </c>
      <c r="H365" s="15" t="n">
        <v>1</v>
      </c>
      <c r="I365" s="15" t="n">
        <f aca="false">IF(AND(ISNUMBER(G365),ISNUMBER(H365)),G365*2-H365,"")</f>
        <v>7</v>
      </c>
      <c r="J365" s="15" t="s">
        <v>1010</v>
      </c>
      <c r="K365" s="15" t="s">
        <v>1011</v>
      </c>
      <c r="L365" s="15" t="s">
        <v>1211</v>
      </c>
      <c r="M365" s="15" t="s">
        <v>217</v>
      </c>
      <c r="N365" s="15" t="str">
        <f aca="false">IF(M365="","Not built (workbook: do not build)",IFERROR(INDEX(Pages!$F$2:$F$98,MATCH(M365,Pages!$B$2:$B$98,0)),"Not found"))</f>
        <v>Property Appraisals in a Mortgage Investment</v>
      </c>
      <c r="O365" s="15" t="s">
        <v>113</v>
      </c>
      <c r="P365" s="16"/>
      <c r="Q365" s="16"/>
      <c r="R365" s="16"/>
      <c r="S365" s="16"/>
      <c r="T365" s="15"/>
    </row>
    <row r="366" customFormat="false" ht="15" hidden="false" customHeight="false" outlineLevel="0" collapsed="false">
      <c r="A366" s="15" t="s">
        <v>465</v>
      </c>
      <c r="B366" s="15" t="s">
        <v>1054</v>
      </c>
      <c r="C366" s="15" t="s">
        <v>1385</v>
      </c>
      <c r="D366" s="15" t="s">
        <v>1007</v>
      </c>
      <c r="E366" s="15" t="s">
        <v>1023</v>
      </c>
      <c r="F366" s="15" t="s">
        <v>1009</v>
      </c>
      <c r="G366" s="15" t="n">
        <v>5</v>
      </c>
      <c r="H366" s="15" t="n">
        <v>1</v>
      </c>
      <c r="I366" s="15" t="n">
        <f aca="false">IF(AND(ISNUMBER(G366),ISNUMBER(H366)),G366*2-H366,"")</f>
        <v>9</v>
      </c>
      <c r="J366" s="15" t="s">
        <v>1047</v>
      </c>
      <c r="K366" s="15" t="s">
        <v>1011</v>
      </c>
      <c r="L366" s="15" t="s">
        <v>1205</v>
      </c>
      <c r="M366" s="15" t="s">
        <v>459</v>
      </c>
      <c r="N366" s="15" t="str">
        <f aca="false">IF(M366="","Not built (workbook: do not build)",IFERROR(INDEX(Pages!$F$2:$F$98,MATCH(M366,Pages!$B$2:$B$98,0)),"Not found"))</f>
        <v>Loan-to-Value in Mortgage Investing: How to Read It</v>
      </c>
      <c r="O366" s="15" t="s">
        <v>113</v>
      </c>
      <c r="P366" s="16"/>
      <c r="Q366" s="16"/>
      <c r="R366" s="16"/>
      <c r="S366" s="16"/>
      <c r="T366" s="15"/>
    </row>
    <row r="367" customFormat="false" ht="15" hidden="false" customHeight="false" outlineLevel="0" collapsed="false">
      <c r="A367" s="15" t="s">
        <v>887</v>
      </c>
      <c r="B367" s="15" t="s">
        <v>1054</v>
      </c>
      <c r="C367" s="15" t="s">
        <v>1385</v>
      </c>
      <c r="D367" s="15" t="s">
        <v>1007</v>
      </c>
      <c r="E367" s="15" t="s">
        <v>1023</v>
      </c>
      <c r="F367" s="15" t="s">
        <v>1009</v>
      </c>
      <c r="G367" s="15" t="n">
        <v>5</v>
      </c>
      <c r="H367" s="15" t="n">
        <v>3</v>
      </c>
      <c r="I367" s="15" t="n">
        <f aca="false">IF(AND(ISNUMBER(G367),ISNUMBER(H367)),G367*2-H367,"")</f>
        <v>7</v>
      </c>
      <c r="J367" s="15" t="s">
        <v>1010</v>
      </c>
      <c r="K367" s="15" t="s">
        <v>1011</v>
      </c>
      <c r="L367" s="15" t="s">
        <v>1184</v>
      </c>
      <c r="M367" s="15" t="s">
        <v>881</v>
      </c>
      <c r="N367" s="15" t="str">
        <f aca="false">IF(M367="","Not built (workbook: do not build)",IFERROR(INDEX(Pages!$F$2:$F$98,MATCH(M367,Pages!$B$2:$B$98,0)),"Not found"))</f>
        <v>RRSP Mortgage Investment Rules in Canada (TFSA, RRIF)</v>
      </c>
      <c r="O367" s="15" t="s">
        <v>113</v>
      </c>
      <c r="P367" s="16"/>
      <c r="Q367" s="16"/>
      <c r="R367" s="16"/>
      <c r="S367" s="16"/>
      <c r="T367" s="15"/>
    </row>
    <row r="368" customFormat="false" ht="15" hidden="false" customHeight="false" outlineLevel="0" collapsed="false">
      <c r="A368" s="15" t="s">
        <v>1415</v>
      </c>
      <c r="B368" s="15" t="s">
        <v>1054</v>
      </c>
      <c r="C368" s="15" t="s">
        <v>1385</v>
      </c>
      <c r="D368" s="15" t="s">
        <v>1007</v>
      </c>
      <c r="E368" s="15" t="s">
        <v>1023</v>
      </c>
      <c r="F368" s="15" t="s">
        <v>1009</v>
      </c>
      <c r="G368" s="15" t="n">
        <v>5</v>
      </c>
      <c r="H368" s="15" t="n">
        <v>3</v>
      </c>
      <c r="I368" s="15" t="n">
        <f aca="false">IF(AND(ISNUMBER(G368),ISNUMBER(H368)),G368*2-H368,"")</f>
        <v>7</v>
      </c>
      <c r="J368" s="15" t="s">
        <v>1010</v>
      </c>
      <c r="K368" s="15" t="s">
        <v>1011</v>
      </c>
      <c r="L368" s="15" t="s">
        <v>1184</v>
      </c>
      <c r="M368" s="15" t="s">
        <v>881</v>
      </c>
      <c r="N368" s="15" t="str">
        <f aca="false">IF(M368="","Not built (workbook: do not build)",IFERROR(INDEX(Pages!$F$2:$F$98,MATCH(M368,Pages!$B$2:$B$98,0)),"Not found"))</f>
        <v>RRSP Mortgage Investment Rules in Canada (TFSA, RRIF)</v>
      </c>
      <c r="O368" s="15" t="s">
        <v>113</v>
      </c>
      <c r="P368" s="16"/>
      <c r="Q368" s="16"/>
      <c r="R368" s="16"/>
      <c r="S368" s="16"/>
      <c r="T368" s="15"/>
    </row>
    <row r="369" customFormat="false" ht="15" hidden="false" customHeight="false" outlineLevel="0" collapsed="false">
      <c r="A369" s="15" t="s">
        <v>301</v>
      </c>
      <c r="B369" s="15" t="s">
        <v>1054</v>
      </c>
      <c r="C369" s="15" t="s">
        <v>1385</v>
      </c>
      <c r="D369" s="15" t="s">
        <v>1007</v>
      </c>
      <c r="E369" s="15" t="s">
        <v>1023</v>
      </c>
      <c r="F369" s="15" t="s">
        <v>1009</v>
      </c>
      <c r="G369" s="15" t="n">
        <v>4</v>
      </c>
      <c r="H369" s="15" t="n">
        <v>1</v>
      </c>
      <c r="I369" s="15" t="n">
        <f aca="false">IF(AND(ISNUMBER(G369),ISNUMBER(H369)),G369*2-H369,"")</f>
        <v>7</v>
      </c>
      <c r="J369" s="15" t="s">
        <v>1010</v>
      </c>
      <c r="K369" s="15" t="s">
        <v>1011</v>
      </c>
      <c r="L369" s="15" t="s">
        <v>1192</v>
      </c>
      <c r="M369" s="15" t="s">
        <v>295</v>
      </c>
      <c r="N369" s="15" t="str">
        <f aca="false">IF(M369="","Not built (workbook: do not build)",IFERROR(INDEX(Pages!$F$2:$F$98,MATCH(M369,Pages!$B$2:$B$98,0)),"Not found"))</f>
        <v>Corporate Investment in Mortgages in Canada | Lendmax Capital MIC</v>
      </c>
      <c r="O369" s="15" t="s">
        <v>113</v>
      </c>
      <c r="P369" s="16"/>
      <c r="Q369" s="16"/>
      <c r="R369" s="16"/>
      <c r="S369" s="16"/>
      <c r="T369" s="15"/>
    </row>
    <row r="370" customFormat="false" ht="15" hidden="false" customHeight="false" outlineLevel="0" collapsed="false">
      <c r="A370" s="15" t="s">
        <v>807</v>
      </c>
      <c r="B370" s="15" t="s">
        <v>1054</v>
      </c>
      <c r="C370" s="15" t="s">
        <v>1385</v>
      </c>
      <c r="D370" s="15" t="s">
        <v>1007</v>
      </c>
      <c r="E370" s="15" t="s">
        <v>1023</v>
      </c>
      <c r="F370" s="15" t="s">
        <v>1009</v>
      </c>
      <c r="G370" s="15" t="n">
        <v>4</v>
      </c>
      <c r="H370" s="15" t="n">
        <v>1</v>
      </c>
      <c r="I370" s="15" t="n">
        <f aca="false">IF(AND(ISNUMBER(G370),ISNUMBER(H370)),G370*2-H370,"")</f>
        <v>7</v>
      </c>
      <c r="J370" s="15" t="s">
        <v>1010</v>
      </c>
      <c r="K370" s="15" t="s">
        <v>1011</v>
      </c>
      <c r="L370" s="15" t="s">
        <v>1194</v>
      </c>
      <c r="M370" s="15" t="s">
        <v>801</v>
      </c>
      <c r="N370" s="15" t="str">
        <f aca="false">IF(M370="","Not built (workbook: do not build)",IFERROR(INDEX(Pages!$F$2:$F$98,MATCH(M370,Pages!$B$2:$B$98,0)),"Not found"))</f>
        <v>Non-Resident Investing in a Canadian MIC | Lendmax Capital MIC</v>
      </c>
      <c r="O370" s="15" t="s">
        <v>113</v>
      </c>
      <c r="P370" s="16"/>
      <c r="Q370" s="16"/>
      <c r="R370" s="16"/>
      <c r="S370" s="16"/>
      <c r="T370" s="15"/>
    </row>
    <row r="371" customFormat="false" ht="15" hidden="false" customHeight="false" outlineLevel="0" collapsed="false">
      <c r="A371" s="15" t="s">
        <v>202</v>
      </c>
      <c r="B371" s="15" t="s">
        <v>1054</v>
      </c>
      <c r="C371" s="15" t="s">
        <v>1385</v>
      </c>
      <c r="D371" s="15" t="s">
        <v>1007</v>
      </c>
      <c r="E371" s="15" t="s">
        <v>1023</v>
      </c>
      <c r="F371" s="15" t="s">
        <v>1009</v>
      </c>
      <c r="G371" s="15" t="n">
        <v>5</v>
      </c>
      <c r="H371" s="15" t="n">
        <v>1</v>
      </c>
      <c r="I371" s="15" t="n">
        <f aca="false">IF(AND(ISNUMBER(G371),ISNUMBER(H371)),G371*2-H371,"")</f>
        <v>9</v>
      </c>
      <c r="J371" s="15" t="s">
        <v>1047</v>
      </c>
      <c r="K371" s="15" t="s">
        <v>1011</v>
      </c>
      <c r="L371" s="15" t="s">
        <v>1259</v>
      </c>
      <c r="M371" s="15" t="s">
        <v>195</v>
      </c>
      <c r="N371" s="15" t="str">
        <f aca="false">IF(M371="","Not built (workbook: do not build)",IFERROR(INDEX(Pages!$F$2:$F$98,MATCH(M371,Pages!$B$2:$B$98,0)),"Not found"))</f>
        <v>Accredited Investor in Canada: Who Qualifies</v>
      </c>
      <c r="O371" s="15" t="s">
        <v>113</v>
      </c>
      <c r="P371" s="16"/>
      <c r="Q371" s="16"/>
      <c r="R371" s="16"/>
      <c r="S371" s="16"/>
      <c r="T371" s="15"/>
    </row>
    <row r="372" customFormat="false" ht="15" hidden="false" customHeight="false" outlineLevel="0" collapsed="false">
      <c r="A372" s="15" t="s">
        <v>328</v>
      </c>
      <c r="B372" s="15" t="s">
        <v>1054</v>
      </c>
      <c r="C372" s="15" t="s">
        <v>1385</v>
      </c>
      <c r="D372" s="15" t="s">
        <v>1007</v>
      </c>
      <c r="E372" s="15" t="s">
        <v>1023</v>
      </c>
      <c r="F372" s="15" t="s">
        <v>1009</v>
      </c>
      <c r="G372" s="15" t="n">
        <v>4</v>
      </c>
      <c r="H372" s="15" t="n">
        <v>1</v>
      </c>
      <c r="I372" s="15" t="n">
        <f aca="false">IF(AND(ISNUMBER(G372),ISNUMBER(H372)),G372*2-H372,"")</f>
        <v>7</v>
      </c>
      <c r="J372" s="15" t="s">
        <v>1010</v>
      </c>
      <c r="K372" s="15" t="s">
        <v>1011</v>
      </c>
      <c r="L372" s="15" t="s">
        <v>1061</v>
      </c>
      <c r="M372" s="15" t="s">
        <v>322</v>
      </c>
      <c r="N372" s="15" t="str">
        <f aca="false">IF(M372="","Not built (workbook: do not build)",IFERROR(INDEX(Pages!$F$2:$F$98,MATCH(M372,Pages!$B$2:$B$98,0)),"Not found"))</f>
        <v>Direct Mortgage Investing: Holding the Charge Yourself</v>
      </c>
      <c r="O372" s="15" t="s">
        <v>113</v>
      </c>
      <c r="P372" s="16"/>
      <c r="Q372" s="16"/>
      <c r="R372" s="16"/>
      <c r="S372" s="16"/>
      <c r="T372" s="15"/>
    </row>
    <row r="373" customFormat="false" ht="15" hidden="false" customHeight="false" outlineLevel="0" collapsed="false">
      <c r="A373" s="15" t="s">
        <v>274</v>
      </c>
      <c r="B373" s="15" t="s">
        <v>1054</v>
      </c>
      <c r="C373" s="15" t="s">
        <v>1385</v>
      </c>
      <c r="D373" s="15" t="s">
        <v>1007</v>
      </c>
      <c r="E373" s="15" t="s">
        <v>1023</v>
      </c>
      <c r="F373" s="15" t="s">
        <v>1009</v>
      </c>
      <c r="G373" s="15" t="n">
        <v>5</v>
      </c>
      <c r="H373" s="15" t="n">
        <v>1</v>
      </c>
      <c r="I373" s="15" t="n">
        <f aca="false">IF(AND(ISNUMBER(G373),ISNUMBER(H373)),G373*2-H373,"")</f>
        <v>9</v>
      </c>
      <c r="J373" s="15" t="s">
        <v>1047</v>
      </c>
      <c r="K373" s="15" t="s">
        <v>1011</v>
      </c>
      <c r="L373" s="15" t="s">
        <v>1197</v>
      </c>
      <c r="M373" s="15" t="s">
        <v>267</v>
      </c>
      <c r="N373" s="15" t="str">
        <f aca="false">IF(M373="","Not built (workbook: do not build)",IFERROR(INDEX(Pages!$F$2:$F$98,MATCH(M373,Pages!$B$2:$B$98,0)),"Not found"))</f>
        <v>Capital Preservation and Principal Loss in Mortgages</v>
      </c>
      <c r="O373" s="15" t="s">
        <v>113</v>
      </c>
      <c r="P373" s="16"/>
      <c r="Q373" s="16"/>
      <c r="R373" s="16"/>
      <c r="S373" s="16"/>
      <c r="T373" s="15"/>
    </row>
    <row r="374" customFormat="false" ht="15" hidden="false" customHeight="false" outlineLevel="0" collapsed="false">
      <c r="A374" s="15" t="s">
        <v>1416</v>
      </c>
      <c r="B374" s="15" t="s">
        <v>1054</v>
      </c>
      <c r="C374" s="15" t="s">
        <v>1385</v>
      </c>
      <c r="D374" s="15" t="s">
        <v>1007</v>
      </c>
      <c r="E374" s="15" t="s">
        <v>1023</v>
      </c>
      <c r="F374" s="15" t="s">
        <v>1009</v>
      </c>
      <c r="G374" s="15" t="n">
        <v>5</v>
      </c>
      <c r="H374" s="15" t="n">
        <v>1</v>
      </c>
      <c r="I374" s="15" t="n">
        <f aca="false">IF(AND(ISNUMBER(G374),ISNUMBER(H374)),G374*2-H374,"")</f>
        <v>9</v>
      </c>
      <c r="J374" s="15" t="s">
        <v>1047</v>
      </c>
      <c r="K374" s="15" t="s">
        <v>1011</v>
      </c>
      <c r="L374" s="15" t="s">
        <v>1085</v>
      </c>
      <c r="M374" s="15" t="s">
        <v>450</v>
      </c>
      <c r="N374" s="15" t="str">
        <f aca="false">IF(M374="","Not built (workbook: do not build)",IFERROR(INDEX(Pages!$F$2:$F$98,MATCH(M374,Pages!$B$2:$B$98,0)),"Not found"))</f>
        <v>Liquidity Risk in a Mortgage Investment: Redemption</v>
      </c>
      <c r="O374" s="15" t="s">
        <v>113</v>
      </c>
      <c r="P374" s="16"/>
      <c r="Q374" s="16"/>
      <c r="R374" s="16"/>
      <c r="S374" s="16"/>
      <c r="T374" s="15"/>
    </row>
    <row r="375" customFormat="false" ht="15" hidden="false" customHeight="false" outlineLevel="0" collapsed="false">
      <c r="A375" s="15" t="s">
        <v>1417</v>
      </c>
      <c r="B375" s="15" t="s">
        <v>1054</v>
      </c>
      <c r="C375" s="15" t="s">
        <v>1385</v>
      </c>
      <c r="D375" s="15" t="s">
        <v>1007</v>
      </c>
      <c r="E375" s="15" t="s">
        <v>1023</v>
      </c>
      <c r="F375" s="15" t="s">
        <v>1009</v>
      </c>
      <c r="G375" s="15" t="n">
        <v>4</v>
      </c>
      <c r="H375" s="15" t="n">
        <v>1</v>
      </c>
      <c r="I375" s="15" t="n">
        <f aca="false">IF(AND(ISNUMBER(G375),ISNUMBER(H375)),G375*2-H375,"")</f>
        <v>7</v>
      </c>
      <c r="J375" s="15" t="s">
        <v>1010</v>
      </c>
      <c r="K375" s="15" t="s">
        <v>1011</v>
      </c>
      <c r="L375" s="15" t="s">
        <v>1070</v>
      </c>
      <c r="M375" s="15" t="s">
        <v>468</v>
      </c>
      <c r="N375" s="15" t="str">
        <f aca="false">IF(M375="","Not built (workbook: do not build)",IFERROR(INDEX(Pages!$F$2:$F$98,MATCH(M375,Pages!$B$2:$B$98,0)),"Not found"))</f>
        <v>MIC Minimum Investment: What It Takes to Start</v>
      </c>
      <c r="O375" s="15" t="s">
        <v>113</v>
      </c>
      <c r="P375" s="16"/>
      <c r="Q375" s="16"/>
      <c r="R375" s="16"/>
      <c r="S375" s="16"/>
      <c r="T375" s="15"/>
    </row>
    <row r="376" customFormat="false" ht="15" hidden="false" customHeight="false" outlineLevel="0" collapsed="false">
      <c r="A376" s="15" t="s">
        <v>1418</v>
      </c>
      <c r="B376" s="15" t="s">
        <v>1054</v>
      </c>
      <c r="C376" s="15" t="s">
        <v>1385</v>
      </c>
      <c r="D376" s="15" t="s">
        <v>1007</v>
      </c>
      <c r="E376" s="15" t="s">
        <v>1023</v>
      </c>
      <c r="F376" s="15" t="s">
        <v>1009</v>
      </c>
      <c r="G376" s="15" t="n">
        <v>5</v>
      </c>
      <c r="H376" s="15" t="n">
        <v>2</v>
      </c>
      <c r="I376" s="15" t="n">
        <f aca="false">IF(AND(ISNUMBER(G376),ISNUMBER(H376)),G376*2-H376,"")</f>
        <v>8</v>
      </c>
      <c r="J376" s="15" t="s">
        <v>1047</v>
      </c>
      <c r="K376" s="15" t="s">
        <v>1011</v>
      </c>
      <c r="L376" s="15" t="s">
        <v>1096</v>
      </c>
      <c r="M376" s="15" t="s">
        <v>431</v>
      </c>
      <c r="N376" s="15" t="str">
        <f aca="false">IF(M376="","Not built (workbook: do not build)",IFERROR(INDEX(Pages!$F$2:$F$98,MATCH(M376,Pages!$B$2:$B$98,0)),"Not found"))</f>
        <v>How to Choose a MIC: 20 Questions to Ask First</v>
      </c>
      <c r="O376" s="15" t="s">
        <v>113</v>
      </c>
      <c r="P376" s="16"/>
      <c r="Q376" s="16"/>
      <c r="R376" s="16"/>
      <c r="S376" s="16"/>
      <c r="T376" s="15"/>
    </row>
    <row r="377" customFormat="false" ht="15" hidden="false" customHeight="false" outlineLevel="0" collapsed="false">
      <c r="A377" s="15" t="s">
        <v>438</v>
      </c>
      <c r="B377" s="15" t="s">
        <v>1054</v>
      </c>
      <c r="C377" s="15" t="s">
        <v>1385</v>
      </c>
      <c r="D377" s="15" t="s">
        <v>1007</v>
      </c>
      <c r="E377" s="15" t="s">
        <v>1023</v>
      </c>
      <c r="F377" s="15" t="s">
        <v>1009</v>
      </c>
      <c r="G377" s="15" t="n">
        <v>5</v>
      </c>
      <c r="H377" s="15" t="n">
        <v>2</v>
      </c>
      <c r="I377" s="15" t="n">
        <f aca="false">IF(AND(ISNUMBER(G377),ISNUMBER(H377)),G377*2-H377,"")</f>
        <v>8</v>
      </c>
      <c r="J377" s="15" t="s">
        <v>1047</v>
      </c>
      <c r="K377" s="15" t="s">
        <v>1011</v>
      </c>
      <c r="L377" s="15" t="s">
        <v>1098</v>
      </c>
      <c r="M377" s="15" t="s">
        <v>431</v>
      </c>
      <c r="N377" s="15" t="str">
        <f aca="false">IF(M377="","Not built (workbook: do not build)",IFERROR(INDEX(Pages!$F$2:$F$98,MATCH(M377,Pages!$B$2:$B$98,0)),"Not found"))</f>
        <v>How to Choose a MIC: 20 Questions to Ask First</v>
      </c>
      <c r="O377" s="15" t="s">
        <v>113</v>
      </c>
      <c r="P377" s="16"/>
      <c r="Q377" s="16"/>
      <c r="R377" s="16"/>
      <c r="S377" s="16"/>
      <c r="T377" s="15"/>
    </row>
    <row r="378" customFormat="false" ht="15" hidden="false" customHeight="false" outlineLevel="0" collapsed="false">
      <c r="A378" s="15" t="s">
        <v>798</v>
      </c>
      <c r="B378" s="15" t="s">
        <v>1054</v>
      </c>
      <c r="C378" s="15" t="s">
        <v>1385</v>
      </c>
      <c r="D378" s="15" t="s">
        <v>1007</v>
      </c>
      <c r="E378" s="15" t="s">
        <v>1023</v>
      </c>
      <c r="F378" s="15" t="s">
        <v>1009</v>
      </c>
      <c r="G378" s="15" t="n">
        <v>5</v>
      </c>
      <c r="H378" s="15" t="n">
        <v>1</v>
      </c>
      <c r="I378" s="15" t="n">
        <f aca="false">IF(AND(ISNUMBER(G378),ISNUMBER(H378)),G378*2-H378,"")</f>
        <v>9</v>
      </c>
      <c r="J378" s="15" t="s">
        <v>1047</v>
      </c>
      <c r="K378" s="15" t="s">
        <v>1011</v>
      </c>
      <c r="L378" s="15" t="s">
        <v>1130</v>
      </c>
      <c r="M378" s="15" t="s">
        <v>792</v>
      </c>
      <c r="N378" s="15" t="str">
        <f aca="false">IF(M378="","Not built (workbook: do not build)",IFERROR(INDEX(Pages!$F$2:$F$98,MATCH(M378,Pages!$B$2:$B$98,0)),"Not found"))</f>
        <v>Mortgage Investor Due Diligence Checklist | Lendmax Capital MIC</v>
      </c>
      <c r="O378" s="15" t="s">
        <v>113</v>
      </c>
      <c r="P378" s="16"/>
      <c r="Q378" s="16"/>
      <c r="R378" s="16"/>
      <c r="S378" s="16"/>
      <c r="T378" s="15"/>
    </row>
    <row r="379" customFormat="false" ht="15" hidden="false" customHeight="false" outlineLevel="0" collapsed="false">
      <c r="A379" s="15" t="s">
        <v>702</v>
      </c>
      <c r="B379" s="15" t="s">
        <v>1054</v>
      </c>
      <c r="C379" s="15" t="s">
        <v>1385</v>
      </c>
      <c r="D379" s="15" t="s">
        <v>1007</v>
      </c>
      <c r="E379" s="15" t="s">
        <v>1023</v>
      </c>
      <c r="F379" s="15" t="s">
        <v>1009</v>
      </c>
      <c r="G379" s="15" t="n">
        <v>5</v>
      </c>
      <c r="H379" s="15" t="n">
        <v>1</v>
      </c>
      <c r="I379" s="15" t="n">
        <f aca="false">IF(AND(ISNUMBER(G379),ISNUMBER(H379)),G379*2-H379,"")</f>
        <v>9</v>
      </c>
      <c r="J379" s="15" t="s">
        <v>1047</v>
      </c>
      <c r="K379" s="15" t="s">
        <v>1011</v>
      </c>
      <c r="L379" s="15" t="s">
        <v>1225</v>
      </c>
      <c r="M379" s="15" t="s">
        <v>697</v>
      </c>
      <c r="N379" s="15" t="str">
        <f aca="false">IF(M379="","Not built (workbook: do not build)",IFERROR(INDEX(Pages!$F$2:$F$98,MATCH(M379,Pages!$B$2:$B$98,0)),"Not found"))</f>
        <v>Mortgage Investment Red Flags and Fraud Prevention</v>
      </c>
      <c r="O379" s="15" t="s">
        <v>113</v>
      </c>
      <c r="P379" s="16"/>
      <c r="Q379" s="16"/>
      <c r="R379" s="16"/>
      <c r="S379" s="16"/>
      <c r="T379" s="15"/>
    </row>
    <row r="380" customFormat="false" ht="15" hidden="false" customHeight="false" outlineLevel="0" collapsed="false">
      <c r="A380" s="15" t="s">
        <v>843</v>
      </c>
      <c r="B380" s="15" t="s">
        <v>1054</v>
      </c>
      <c r="C380" s="15" t="s">
        <v>1385</v>
      </c>
      <c r="D380" s="15" t="s">
        <v>1007</v>
      </c>
      <c r="E380" s="15" t="s">
        <v>1023</v>
      </c>
      <c r="F380" s="15" t="s">
        <v>1009</v>
      </c>
      <c r="G380" s="15" t="n">
        <v>4</v>
      </c>
      <c r="H380" s="15" t="n">
        <v>1</v>
      </c>
      <c r="I380" s="15" t="n">
        <f aca="false">IF(AND(ISNUMBER(G380),ISNUMBER(H380)),G380*2-H380,"")</f>
        <v>7</v>
      </c>
      <c r="J380" s="15" t="s">
        <v>1010</v>
      </c>
      <c r="K380" s="15" t="s">
        <v>1011</v>
      </c>
      <c r="L380" s="15" t="s">
        <v>1101</v>
      </c>
      <c r="M380" s="15" t="s">
        <v>837</v>
      </c>
      <c r="N380" s="15" t="str">
        <f aca="false">IF(M380="","Not built (workbook: do not build)",IFERROR(INDEX(Pages!$F$2:$F$98,MATCH(M380,Pages!$B$2:$B$98,0)),"Not found"))</f>
        <v>How to Read a MIC Financial Statement and OM</v>
      </c>
      <c r="O380" s="15" t="s">
        <v>113</v>
      </c>
      <c r="P380" s="16"/>
      <c r="Q380" s="16"/>
      <c r="R380" s="16"/>
      <c r="S380" s="16"/>
      <c r="T380" s="15"/>
    </row>
    <row r="381" customFormat="false" ht="23.85" hidden="false" customHeight="false" outlineLevel="0" collapsed="false">
      <c r="A381" s="15" t="s">
        <v>1419</v>
      </c>
      <c r="B381" s="15" t="s">
        <v>1054</v>
      </c>
      <c r="C381" s="15" t="s">
        <v>1385</v>
      </c>
      <c r="D381" s="15" t="s">
        <v>1007</v>
      </c>
      <c r="E381" s="15" t="s">
        <v>1023</v>
      </c>
      <c r="F381" s="15" t="s">
        <v>1009</v>
      </c>
      <c r="G381" s="15" t="n">
        <v>4</v>
      </c>
      <c r="H381" s="15" t="n">
        <v>1</v>
      </c>
      <c r="I381" s="15" t="n">
        <f aca="false">IF(AND(ISNUMBER(G381),ISNUMBER(H381)),G381*2-H381,"")</f>
        <v>7</v>
      </c>
      <c r="J381" s="15" t="s">
        <v>1010</v>
      </c>
      <c r="K381" s="15" t="s">
        <v>1011</v>
      </c>
      <c r="L381" s="15" t="s">
        <v>1101</v>
      </c>
      <c r="M381" s="15" t="s">
        <v>837</v>
      </c>
      <c r="N381" s="15" t="str">
        <f aca="false">IF(M381="","Not built (workbook: do not build)",IFERROR(INDEX(Pages!$F$2:$F$98,MATCH(M381,Pages!$B$2:$B$98,0)),"Not found"))</f>
        <v>How to Read a MIC Financial Statement and OM</v>
      </c>
      <c r="O381" s="15" t="s">
        <v>113</v>
      </c>
      <c r="P381" s="16"/>
      <c r="Q381" s="16"/>
      <c r="R381" s="16"/>
      <c r="S381" s="16"/>
      <c r="T381" s="15"/>
    </row>
    <row r="382" customFormat="false" ht="15" hidden="false" customHeight="false" outlineLevel="0" collapsed="false">
      <c r="A382" s="15" t="s">
        <v>1420</v>
      </c>
      <c r="B382" s="15" t="s">
        <v>1054</v>
      </c>
      <c r="C382" s="15" t="s">
        <v>1385</v>
      </c>
      <c r="D382" s="15" t="s">
        <v>1007</v>
      </c>
      <c r="E382" s="15" t="s">
        <v>1023</v>
      </c>
      <c r="F382" s="15" t="s">
        <v>1009</v>
      </c>
      <c r="G382" s="15" t="n">
        <v>4</v>
      </c>
      <c r="H382" s="15" t="n">
        <v>1</v>
      </c>
      <c r="I382" s="15" t="n">
        <f aca="false">IF(AND(ISNUMBER(G382),ISNUMBER(H382)),G382*2-H382,"")</f>
        <v>7</v>
      </c>
      <c r="J382" s="15" t="s">
        <v>1010</v>
      </c>
      <c r="K382" s="15" t="s">
        <v>1011</v>
      </c>
      <c r="L382" s="15" t="s">
        <v>1295</v>
      </c>
      <c r="M382" s="15" t="s">
        <v>943</v>
      </c>
      <c r="N382" s="15" t="str">
        <f aca="false">IF(M382="","Not built (workbook: do not build)",IFERROR(INDEX(Pages!$F$2:$F$98,MATCH(M382,Pages!$B$2:$B$98,0)),"Not found"))</f>
        <v>Mortgage Investment Reporting to Investors: What to Expect</v>
      </c>
      <c r="O382" s="15" t="s">
        <v>113</v>
      </c>
      <c r="P382" s="16"/>
      <c r="Q382" s="16"/>
      <c r="R382" s="16"/>
      <c r="S382" s="16"/>
      <c r="T382" s="15"/>
    </row>
    <row r="383" customFormat="false" ht="15" hidden="false" customHeight="false" outlineLevel="0" collapsed="false">
      <c r="A383" s="15" t="s">
        <v>1421</v>
      </c>
      <c r="B383" s="15" t="s">
        <v>1054</v>
      </c>
      <c r="C383" s="15" t="s">
        <v>1385</v>
      </c>
      <c r="D383" s="15" t="s">
        <v>1007</v>
      </c>
      <c r="E383" s="15" t="s">
        <v>1023</v>
      </c>
      <c r="F383" s="15" t="s">
        <v>1009</v>
      </c>
      <c r="G383" s="15" t="n">
        <v>4</v>
      </c>
      <c r="H383" s="15" t="n">
        <v>1</v>
      </c>
      <c r="I383" s="15" t="n">
        <f aca="false">IF(AND(ISNUMBER(G383),ISNUMBER(H383)),G383*2-H383,"")</f>
        <v>7</v>
      </c>
      <c r="J383" s="15" t="s">
        <v>1010</v>
      </c>
      <c r="K383" s="15" t="s">
        <v>1011</v>
      </c>
      <c r="L383" s="15" t="s">
        <v>1255</v>
      </c>
      <c r="M383" s="15" t="s">
        <v>722</v>
      </c>
      <c r="N383" s="15" t="str">
        <f aca="false">IF(M383="","Not built (workbook: do not build)",IFERROR(INDEX(Pages!$F$2:$F$98,MATCH(M383,Pages!$B$2:$B$98,0)),"Not found"))</f>
        <v>Mortgage Investment Regulations in Canada | Lendmax Capital MIC</v>
      </c>
      <c r="O383" s="15" t="s">
        <v>113</v>
      </c>
      <c r="P383" s="16"/>
      <c r="Q383" s="16"/>
      <c r="R383" s="16"/>
      <c r="S383" s="16"/>
      <c r="T383" s="15"/>
    </row>
  </sheetData>
  <autoFilter ref="A1:T383"/>
  <conditionalFormatting sqref="O2:O383">
    <cfRule type="cellIs" priority="2" operator="equal" aboveAverage="0" equalAverage="0" bottom="0" percent="0" rank="0" text="" dxfId="4">
      <formula>"Yes"</formula>
    </cfRule>
    <cfRule type="cellIs" priority="3" operator="equal" aboveAverage="0" equalAverage="0" bottom="0" percent="0" rank="0" text="" dxfId="6">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V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40"/>
    <col collapsed="false" customWidth="true" hidden="false" outlineLevel="0" max="4" min="4" style="0" width="8"/>
    <col collapsed="false" customWidth="true" hidden="false" outlineLevel="0" max="5" min="5" style="0" width="30"/>
    <col collapsed="false" customWidth="true" hidden="false" outlineLevel="0" max="8" min="6" style="0" width="9"/>
    <col collapsed="false" customWidth="true" hidden="false" outlineLevel="0" max="21" min="9" style="0" width="11"/>
    <col collapsed="false" customWidth="true" hidden="false" outlineLevel="0" max="22" min="22" style="0" width="9"/>
  </cols>
  <sheetData>
    <row r="1" customFormat="false" ht="30" hidden="false" customHeight="true" outlineLevel="0" collapsed="false">
      <c r="A1" s="14" t="s">
        <v>70</v>
      </c>
      <c r="B1" s="14" t="s">
        <v>1422</v>
      </c>
      <c r="C1" s="14" t="s">
        <v>71</v>
      </c>
      <c r="D1" s="14" t="s">
        <v>74</v>
      </c>
      <c r="E1" s="14" t="s">
        <v>82</v>
      </c>
      <c r="F1" s="14" t="s">
        <v>1423</v>
      </c>
      <c r="G1" s="14" t="s">
        <v>1424</v>
      </c>
      <c r="H1" s="14" t="s">
        <v>1425</v>
      </c>
      <c r="I1" s="14" t="s">
        <v>1426</v>
      </c>
      <c r="J1" s="14" t="s">
        <v>76</v>
      </c>
      <c r="K1" s="14" t="s">
        <v>79</v>
      </c>
      <c r="L1" s="14" t="s">
        <v>1427</v>
      </c>
      <c r="M1" s="14" t="s">
        <v>1428</v>
      </c>
      <c r="N1" s="14" t="s">
        <v>1429</v>
      </c>
      <c r="O1" s="14" t="s">
        <v>1430</v>
      </c>
      <c r="P1" s="14" t="s">
        <v>1431</v>
      </c>
      <c r="Q1" s="14" t="s">
        <v>1432</v>
      </c>
      <c r="R1" s="14" t="s">
        <v>1433</v>
      </c>
      <c r="S1" s="14" t="s">
        <v>1434</v>
      </c>
      <c r="T1" s="14" t="s">
        <v>1435</v>
      </c>
      <c r="U1" s="14" t="s">
        <v>1436</v>
      </c>
      <c r="V1" s="14" t="s">
        <v>1437</v>
      </c>
    </row>
    <row r="2" customFormat="false" ht="15" hidden="false" customHeight="false" outlineLevel="0" collapsed="false">
      <c r="A2" s="15" t="n">
        <v>1</v>
      </c>
      <c r="B2" s="15" t="s">
        <v>937</v>
      </c>
      <c r="C2" s="15" t="s">
        <v>934</v>
      </c>
      <c r="D2" s="15" t="s">
        <v>127</v>
      </c>
      <c r="E2" s="15" t="s">
        <v>938</v>
      </c>
      <c r="F2" s="15" t="n">
        <v>2821</v>
      </c>
      <c r="G2" s="15" t="n">
        <v>2200</v>
      </c>
      <c r="H2" s="15" t="str">
        <f aca="false">IF(COUNTIF(I2:U2,"Fail")=0,"PASS","FAIL")</f>
        <v>PASS</v>
      </c>
      <c r="I2" s="15" t="s">
        <v>1438</v>
      </c>
      <c r="J2" s="15" t="s">
        <v>1438</v>
      </c>
      <c r="K2" s="15" t="s">
        <v>1438</v>
      </c>
      <c r="L2" s="15" t="s">
        <v>1438</v>
      </c>
      <c r="M2" s="15" t="s">
        <v>1438</v>
      </c>
      <c r="N2" s="15" t="s">
        <v>1438</v>
      </c>
      <c r="O2" s="15" t="s">
        <v>1438</v>
      </c>
      <c r="P2" s="15" t="s">
        <v>1438</v>
      </c>
      <c r="Q2" s="15" t="s">
        <v>1438</v>
      </c>
      <c r="R2" s="15" t="s">
        <v>1438</v>
      </c>
      <c r="S2" s="15" t="s">
        <v>1438</v>
      </c>
      <c r="T2" s="15" t="s">
        <v>1438</v>
      </c>
      <c r="U2" s="15" t="s">
        <v>1438</v>
      </c>
      <c r="V2" s="15" t="n">
        <f aca="false">COUNTIF(I2:U2,"Pass")</f>
        <v>13</v>
      </c>
    </row>
    <row r="3" customFormat="false" ht="15" hidden="false" customHeight="false" outlineLevel="0" collapsed="false">
      <c r="A3" s="15" t="n">
        <v>2</v>
      </c>
      <c r="B3" s="15" t="s">
        <v>425</v>
      </c>
      <c r="C3" s="15" t="s">
        <v>422</v>
      </c>
      <c r="D3" s="15" t="s">
        <v>127</v>
      </c>
      <c r="E3" s="15" t="s">
        <v>426</v>
      </c>
      <c r="F3" s="15" t="n">
        <v>2516</v>
      </c>
      <c r="G3" s="15" t="n">
        <v>2400</v>
      </c>
      <c r="H3" s="15" t="str">
        <f aca="false">IF(COUNTIF(I3:U3,"Fail")=0,"PASS","FAIL")</f>
        <v>PASS</v>
      </c>
      <c r="I3" s="15" t="s">
        <v>1438</v>
      </c>
      <c r="J3" s="15" t="s">
        <v>1438</v>
      </c>
      <c r="K3" s="15" t="s">
        <v>1438</v>
      </c>
      <c r="L3" s="15" t="s">
        <v>1438</v>
      </c>
      <c r="M3" s="15" t="s">
        <v>1438</v>
      </c>
      <c r="N3" s="15" t="s">
        <v>1438</v>
      </c>
      <c r="O3" s="15" t="s">
        <v>1438</v>
      </c>
      <c r="P3" s="15" t="s">
        <v>1438</v>
      </c>
      <c r="Q3" s="15" t="s">
        <v>1438</v>
      </c>
      <c r="R3" s="15" t="s">
        <v>1438</v>
      </c>
      <c r="S3" s="15" t="s">
        <v>1438</v>
      </c>
      <c r="T3" s="15" t="s">
        <v>1438</v>
      </c>
      <c r="U3" s="15" t="s">
        <v>1438</v>
      </c>
      <c r="V3" s="15" t="n">
        <f aca="false">COUNTIF(I3:U3,"Pass")</f>
        <v>13</v>
      </c>
    </row>
    <row r="4" customFormat="false" ht="15" hidden="false" customHeight="false" outlineLevel="0" collapsed="false">
      <c r="A4" s="15" t="n">
        <v>3</v>
      </c>
      <c r="B4" s="15" t="s">
        <v>407</v>
      </c>
      <c r="C4" s="15" t="s">
        <v>404</v>
      </c>
      <c r="D4" s="15" t="s">
        <v>127</v>
      </c>
      <c r="E4" s="15" t="s">
        <v>408</v>
      </c>
      <c r="F4" s="15" t="n">
        <v>1971</v>
      </c>
      <c r="G4" s="15" t="n">
        <v>1800</v>
      </c>
      <c r="H4" s="15" t="str">
        <f aca="false">IF(COUNTIF(I4:U4,"Fail")=0,"PASS","FAIL")</f>
        <v>PASS</v>
      </c>
      <c r="I4" s="15" t="s">
        <v>1438</v>
      </c>
      <c r="J4" s="15" t="s">
        <v>1438</v>
      </c>
      <c r="K4" s="15" t="s">
        <v>1438</v>
      </c>
      <c r="L4" s="15" t="s">
        <v>1438</v>
      </c>
      <c r="M4" s="15" t="s">
        <v>1438</v>
      </c>
      <c r="N4" s="15" t="s">
        <v>1438</v>
      </c>
      <c r="O4" s="15" t="s">
        <v>1438</v>
      </c>
      <c r="P4" s="15" t="s">
        <v>1438</v>
      </c>
      <c r="Q4" s="15" t="s">
        <v>1438</v>
      </c>
      <c r="R4" s="15" t="s">
        <v>1438</v>
      </c>
      <c r="S4" s="15" t="s">
        <v>1438</v>
      </c>
      <c r="T4" s="15" t="s">
        <v>1438</v>
      </c>
      <c r="U4" s="15" t="s">
        <v>1438</v>
      </c>
      <c r="V4" s="15" t="n">
        <f aca="false">COUNTIF(I4:U4,"Pass")</f>
        <v>13</v>
      </c>
    </row>
    <row r="5" customFormat="false" ht="15" hidden="false" customHeight="false" outlineLevel="0" collapsed="false">
      <c r="A5" s="15" t="n">
        <v>4</v>
      </c>
      <c r="B5" s="15" t="s">
        <v>389</v>
      </c>
      <c r="C5" s="15" t="s">
        <v>386</v>
      </c>
      <c r="D5" s="15" t="s">
        <v>248</v>
      </c>
      <c r="E5" s="15" t="s">
        <v>390</v>
      </c>
      <c r="F5" s="15" t="n">
        <v>1676</v>
      </c>
      <c r="G5" s="15" t="n">
        <v>1400</v>
      </c>
      <c r="H5" s="15" t="str">
        <f aca="false">IF(COUNTIF(I5:U5,"Fail")=0,"PASS","FAIL")</f>
        <v>PASS</v>
      </c>
      <c r="I5" s="15" t="s">
        <v>1438</v>
      </c>
      <c r="J5" s="15" t="s">
        <v>1438</v>
      </c>
      <c r="K5" s="15" t="s">
        <v>1438</v>
      </c>
      <c r="L5" s="15" t="s">
        <v>1438</v>
      </c>
      <c r="M5" s="15" t="s">
        <v>1438</v>
      </c>
      <c r="N5" s="15" t="s">
        <v>1438</v>
      </c>
      <c r="O5" s="15" t="s">
        <v>1438</v>
      </c>
      <c r="P5" s="15" t="s">
        <v>1438</v>
      </c>
      <c r="Q5" s="15" t="s">
        <v>1438</v>
      </c>
      <c r="R5" s="15" t="s">
        <v>1438</v>
      </c>
      <c r="S5" s="15" t="s">
        <v>1438</v>
      </c>
      <c r="T5" s="15" t="s">
        <v>1438</v>
      </c>
      <c r="U5" s="15" t="s">
        <v>1438</v>
      </c>
      <c r="V5" s="15" t="n">
        <f aca="false">COUNTIF(I5:U5,"Pass")</f>
        <v>13</v>
      </c>
    </row>
    <row r="6" customFormat="false" ht="15" hidden="false" customHeight="false" outlineLevel="0" collapsed="false">
      <c r="A6" s="15" t="n">
        <v>5</v>
      </c>
      <c r="B6" s="15" t="s">
        <v>398</v>
      </c>
      <c r="C6" s="15" t="s">
        <v>395</v>
      </c>
      <c r="D6" s="15" t="s">
        <v>127</v>
      </c>
      <c r="E6" s="15" t="s">
        <v>399</v>
      </c>
      <c r="F6" s="15" t="n">
        <v>2246</v>
      </c>
      <c r="G6" s="15" t="n">
        <v>2000</v>
      </c>
      <c r="H6" s="15" t="str">
        <f aca="false">IF(COUNTIF(I6:U6,"Fail")=0,"PASS","FAIL")</f>
        <v>PASS</v>
      </c>
      <c r="I6" s="15" t="s">
        <v>1438</v>
      </c>
      <c r="J6" s="15" t="s">
        <v>1438</v>
      </c>
      <c r="K6" s="15" t="s">
        <v>1438</v>
      </c>
      <c r="L6" s="15" t="s">
        <v>1438</v>
      </c>
      <c r="M6" s="15" t="s">
        <v>1438</v>
      </c>
      <c r="N6" s="15" t="s">
        <v>1438</v>
      </c>
      <c r="O6" s="15" t="s">
        <v>1438</v>
      </c>
      <c r="P6" s="15" t="s">
        <v>1438</v>
      </c>
      <c r="Q6" s="15" t="s">
        <v>1438</v>
      </c>
      <c r="R6" s="15" t="s">
        <v>1438</v>
      </c>
      <c r="S6" s="15" t="s">
        <v>1438</v>
      </c>
      <c r="T6" s="15" t="s">
        <v>1438</v>
      </c>
      <c r="U6" s="15" t="s">
        <v>1438</v>
      </c>
      <c r="V6" s="15" t="n">
        <f aca="false">COUNTIF(I6:U6,"Pass")</f>
        <v>13</v>
      </c>
    </row>
    <row r="7" customFormat="false" ht="15" hidden="false" customHeight="false" outlineLevel="0" collapsed="false">
      <c r="A7" s="15" t="n">
        <v>6</v>
      </c>
      <c r="B7" s="15" t="s">
        <v>579</v>
      </c>
      <c r="C7" s="15" t="s">
        <v>576</v>
      </c>
      <c r="D7" s="15" t="s">
        <v>127</v>
      </c>
      <c r="E7" s="15" t="s">
        <v>580</v>
      </c>
      <c r="F7" s="15" t="n">
        <v>2474</v>
      </c>
      <c r="G7" s="15" t="n">
        <v>2600</v>
      </c>
      <c r="H7" s="15" t="str">
        <f aca="false">IF(COUNTIF(I7:U7,"Fail")=0,"PASS","FAIL")</f>
        <v>PASS</v>
      </c>
      <c r="I7" s="15" t="s">
        <v>1438</v>
      </c>
      <c r="J7" s="15" t="s">
        <v>1438</v>
      </c>
      <c r="K7" s="15" t="s">
        <v>1438</v>
      </c>
      <c r="L7" s="15" t="s">
        <v>1438</v>
      </c>
      <c r="M7" s="15" t="s">
        <v>1438</v>
      </c>
      <c r="N7" s="15" t="s">
        <v>1438</v>
      </c>
      <c r="O7" s="15" t="s">
        <v>1438</v>
      </c>
      <c r="P7" s="15" t="s">
        <v>1438</v>
      </c>
      <c r="Q7" s="15" t="s">
        <v>1438</v>
      </c>
      <c r="R7" s="15" t="s">
        <v>1438</v>
      </c>
      <c r="S7" s="15" t="s">
        <v>1438</v>
      </c>
      <c r="T7" s="15" t="s">
        <v>1438</v>
      </c>
      <c r="U7" s="15" t="s">
        <v>1438</v>
      </c>
      <c r="V7" s="15" t="n">
        <f aca="false">COUNTIF(I7:U7,"Pass")</f>
        <v>13</v>
      </c>
    </row>
    <row r="8" customFormat="false" ht="15" hidden="false" customHeight="false" outlineLevel="0" collapsed="false">
      <c r="A8" s="15" t="n">
        <v>7</v>
      </c>
      <c r="B8" s="15" t="s">
        <v>188</v>
      </c>
      <c r="C8" s="15" t="s">
        <v>183</v>
      </c>
      <c r="D8" s="15" t="s">
        <v>127</v>
      </c>
      <c r="E8" s="15" t="s">
        <v>189</v>
      </c>
      <c r="F8" s="15" t="n">
        <v>4669</v>
      </c>
      <c r="G8" s="15" t="n">
        <v>4000</v>
      </c>
      <c r="H8" s="15" t="str">
        <f aca="false">IF(COUNTIF(I8:U8,"Fail")=0,"PASS","FAIL")</f>
        <v>PASS</v>
      </c>
      <c r="I8" s="15" t="s">
        <v>1438</v>
      </c>
      <c r="J8" s="15" t="s">
        <v>1438</v>
      </c>
      <c r="K8" s="15" t="s">
        <v>1438</v>
      </c>
      <c r="L8" s="15" t="s">
        <v>1438</v>
      </c>
      <c r="M8" s="15" t="s">
        <v>1438</v>
      </c>
      <c r="N8" s="15" t="s">
        <v>1438</v>
      </c>
      <c r="O8" s="15" t="s">
        <v>1438</v>
      </c>
      <c r="P8" s="15" t="s">
        <v>1438</v>
      </c>
      <c r="Q8" s="15" t="s">
        <v>1438</v>
      </c>
      <c r="R8" s="15" t="s">
        <v>1438</v>
      </c>
      <c r="S8" s="15" t="s">
        <v>1438</v>
      </c>
      <c r="T8" s="15" t="s">
        <v>1438</v>
      </c>
      <c r="U8" s="15" t="s">
        <v>1438</v>
      </c>
      <c r="V8" s="15" t="n">
        <f aca="false">COUNTIF(I8:U8,"Pass")</f>
        <v>13</v>
      </c>
    </row>
    <row r="9" customFormat="false" ht="15" hidden="false" customHeight="false" outlineLevel="0" collapsed="false">
      <c r="A9" s="15" t="n">
        <v>8</v>
      </c>
      <c r="B9" s="15" t="s">
        <v>343</v>
      </c>
      <c r="C9" s="15" t="s">
        <v>340</v>
      </c>
      <c r="D9" s="15" t="s">
        <v>127</v>
      </c>
      <c r="E9" s="15" t="s">
        <v>344</v>
      </c>
      <c r="F9" s="15" t="n">
        <v>1802</v>
      </c>
      <c r="G9" s="15" t="n">
        <v>1800</v>
      </c>
      <c r="H9" s="15" t="str">
        <f aca="false">IF(COUNTIF(I9:U9,"Fail")=0,"PASS","FAIL")</f>
        <v>PASS</v>
      </c>
      <c r="I9" s="15" t="s">
        <v>1438</v>
      </c>
      <c r="J9" s="15" t="s">
        <v>1438</v>
      </c>
      <c r="K9" s="15" t="s">
        <v>1438</v>
      </c>
      <c r="L9" s="15" t="s">
        <v>1438</v>
      </c>
      <c r="M9" s="15" t="s">
        <v>1438</v>
      </c>
      <c r="N9" s="15" t="s">
        <v>1438</v>
      </c>
      <c r="O9" s="15" t="s">
        <v>1438</v>
      </c>
      <c r="P9" s="15" t="s">
        <v>1438</v>
      </c>
      <c r="Q9" s="15" t="s">
        <v>1438</v>
      </c>
      <c r="R9" s="15" t="s">
        <v>1438</v>
      </c>
      <c r="S9" s="15" t="s">
        <v>1438</v>
      </c>
      <c r="T9" s="15" t="s">
        <v>1438</v>
      </c>
      <c r="U9" s="15" t="s">
        <v>1438</v>
      </c>
      <c r="V9" s="15" t="n">
        <f aca="false">COUNTIF(I9:U9,"Pass")</f>
        <v>13</v>
      </c>
    </row>
    <row r="10" customFormat="false" ht="15" hidden="false" customHeight="false" outlineLevel="0" collapsed="false">
      <c r="A10" s="15" t="n">
        <v>9</v>
      </c>
      <c r="B10" s="15" t="s">
        <v>893</v>
      </c>
      <c r="C10" s="15" t="s">
        <v>890</v>
      </c>
      <c r="D10" s="15" t="s">
        <v>127</v>
      </c>
      <c r="E10" s="15" t="s">
        <v>894</v>
      </c>
      <c r="F10" s="15" t="n">
        <v>2254</v>
      </c>
      <c r="G10" s="15" t="n">
        <v>2000</v>
      </c>
      <c r="H10" s="15" t="str">
        <f aca="false">IF(COUNTIF(I10:U10,"Fail")=0,"PASS","FAIL")</f>
        <v>PASS</v>
      </c>
      <c r="I10" s="15" t="s">
        <v>1438</v>
      </c>
      <c r="J10" s="15" t="s">
        <v>1438</v>
      </c>
      <c r="K10" s="15" t="s">
        <v>1438</v>
      </c>
      <c r="L10" s="15" t="s">
        <v>1438</v>
      </c>
      <c r="M10" s="15" t="s">
        <v>1438</v>
      </c>
      <c r="N10" s="15" t="s">
        <v>1438</v>
      </c>
      <c r="O10" s="15" t="s">
        <v>1438</v>
      </c>
      <c r="P10" s="15" t="s">
        <v>1438</v>
      </c>
      <c r="Q10" s="15" t="s">
        <v>1438</v>
      </c>
      <c r="R10" s="15" t="s">
        <v>1438</v>
      </c>
      <c r="S10" s="15" t="s">
        <v>1438</v>
      </c>
      <c r="T10" s="15" t="s">
        <v>1438</v>
      </c>
      <c r="U10" s="15" t="s">
        <v>1438</v>
      </c>
      <c r="V10" s="15" t="n">
        <f aca="false">COUNTIF(I10:U10,"Pass")</f>
        <v>13</v>
      </c>
    </row>
    <row r="11" customFormat="false" ht="15" hidden="false" customHeight="false" outlineLevel="0" collapsed="false">
      <c r="A11" s="15" t="n">
        <v>10</v>
      </c>
      <c r="B11" s="15" t="s">
        <v>867</v>
      </c>
      <c r="C11" s="15" t="s">
        <v>864</v>
      </c>
      <c r="D11" s="15" t="s">
        <v>248</v>
      </c>
      <c r="E11" s="15" t="s">
        <v>868</v>
      </c>
      <c r="F11" s="15" t="n">
        <v>2000</v>
      </c>
      <c r="G11" s="15" t="n">
        <v>1800</v>
      </c>
      <c r="H11" s="15" t="str">
        <f aca="false">IF(COUNTIF(I11:U11,"Fail")=0,"PASS","FAIL")</f>
        <v>PASS</v>
      </c>
      <c r="I11" s="15" t="s">
        <v>1438</v>
      </c>
      <c r="J11" s="15" t="s">
        <v>1438</v>
      </c>
      <c r="K11" s="15" t="s">
        <v>1438</v>
      </c>
      <c r="L11" s="15" t="s">
        <v>1438</v>
      </c>
      <c r="M11" s="15" t="s">
        <v>1438</v>
      </c>
      <c r="N11" s="15" t="s">
        <v>1438</v>
      </c>
      <c r="O11" s="15" t="s">
        <v>1438</v>
      </c>
      <c r="P11" s="15" t="s">
        <v>1438</v>
      </c>
      <c r="Q11" s="15" t="s">
        <v>1438</v>
      </c>
      <c r="R11" s="15" t="s">
        <v>1438</v>
      </c>
      <c r="S11" s="15" t="s">
        <v>1438</v>
      </c>
      <c r="T11" s="15" t="s">
        <v>1438</v>
      </c>
      <c r="U11" s="15" t="s">
        <v>1438</v>
      </c>
      <c r="V11" s="15" t="n">
        <f aca="false">COUNTIF(I11:U11,"Pass")</f>
        <v>13</v>
      </c>
    </row>
    <row r="12" customFormat="false" ht="15" hidden="false" customHeight="false" outlineLevel="0" collapsed="false">
      <c r="A12" s="15" t="n">
        <v>11</v>
      </c>
      <c r="B12" s="15" t="s">
        <v>280</v>
      </c>
      <c r="C12" s="15" t="s">
        <v>277</v>
      </c>
      <c r="D12" s="15" t="s">
        <v>248</v>
      </c>
      <c r="E12" s="15" t="s">
        <v>281</v>
      </c>
      <c r="F12" s="15" t="n">
        <v>1977</v>
      </c>
      <c r="G12" s="15" t="n">
        <v>2000</v>
      </c>
      <c r="H12" s="15" t="str">
        <f aca="false">IF(COUNTIF(I12:U12,"Fail")=0,"PASS","FAIL")</f>
        <v>PASS</v>
      </c>
      <c r="I12" s="15" t="s">
        <v>1438</v>
      </c>
      <c r="J12" s="15" t="s">
        <v>1438</v>
      </c>
      <c r="K12" s="15" t="s">
        <v>1438</v>
      </c>
      <c r="L12" s="15" t="s">
        <v>1438</v>
      </c>
      <c r="M12" s="15" t="s">
        <v>1438</v>
      </c>
      <c r="N12" s="15" t="s">
        <v>1438</v>
      </c>
      <c r="O12" s="15" t="s">
        <v>1438</v>
      </c>
      <c r="P12" s="15" t="s">
        <v>1438</v>
      </c>
      <c r="Q12" s="15" t="s">
        <v>1438</v>
      </c>
      <c r="R12" s="15" t="s">
        <v>1438</v>
      </c>
      <c r="S12" s="15" t="s">
        <v>1438</v>
      </c>
      <c r="T12" s="15" t="s">
        <v>1438</v>
      </c>
      <c r="U12" s="15" t="s">
        <v>1438</v>
      </c>
      <c r="V12" s="15" t="n">
        <f aca="false">COUNTIF(I12:U12,"Pass")</f>
        <v>13</v>
      </c>
    </row>
    <row r="13" customFormat="false" ht="23.85" hidden="false" customHeight="false" outlineLevel="0" collapsed="false">
      <c r="A13" s="15" t="n">
        <v>12</v>
      </c>
      <c r="B13" s="15" t="s">
        <v>289</v>
      </c>
      <c r="C13" s="15" t="s">
        <v>286</v>
      </c>
      <c r="D13" s="15" t="s">
        <v>127</v>
      </c>
      <c r="E13" s="15" t="s">
        <v>290</v>
      </c>
      <c r="F13" s="15" t="n">
        <v>2760</v>
      </c>
      <c r="G13" s="15" t="n">
        <v>2800</v>
      </c>
      <c r="H13" s="15" t="str">
        <f aca="false">IF(COUNTIF(I13:U13,"Fail")=0,"PASS","FAIL")</f>
        <v>PASS</v>
      </c>
      <c r="I13" s="15" t="s">
        <v>1438</v>
      </c>
      <c r="J13" s="15" t="s">
        <v>1438</v>
      </c>
      <c r="K13" s="15" t="s">
        <v>1438</v>
      </c>
      <c r="L13" s="15" t="s">
        <v>1438</v>
      </c>
      <c r="M13" s="15" t="s">
        <v>1438</v>
      </c>
      <c r="N13" s="15" t="s">
        <v>1438</v>
      </c>
      <c r="O13" s="15" t="s">
        <v>1438</v>
      </c>
      <c r="P13" s="15" t="s">
        <v>1438</v>
      </c>
      <c r="Q13" s="15" t="s">
        <v>1438</v>
      </c>
      <c r="R13" s="15" t="s">
        <v>1438</v>
      </c>
      <c r="S13" s="15" t="s">
        <v>1438</v>
      </c>
      <c r="T13" s="15" t="s">
        <v>1438</v>
      </c>
      <c r="U13" s="15" t="s">
        <v>1438</v>
      </c>
      <c r="V13" s="15" t="n">
        <f aca="false">COUNTIF(I13:U13,"Pass")</f>
        <v>13</v>
      </c>
    </row>
    <row r="14" customFormat="false" ht="23.85" hidden="false" customHeight="false" outlineLevel="0" collapsed="false">
      <c r="A14" s="15" t="n">
        <v>13</v>
      </c>
      <c r="B14" s="15" t="s">
        <v>316</v>
      </c>
      <c r="C14" s="15" t="s">
        <v>313</v>
      </c>
      <c r="D14" s="15" t="s">
        <v>248</v>
      </c>
      <c r="E14" s="15" t="s">
        <v>317</v>
      </c>
      <c r="F14" s="15" t="n">
        <v>2290</v>
      </c>
      <c r="G14" s="15" t="n">
        <v>2200</v>
      </c>
      <c r="H14" s="15" t="str">
        <f aca="false">IF(COUNTIF(I14:U14,"Fail")=0,"PASS","FAIL")</f>
        <v>PASS</v>
      </c>
      <c r="I14" s="15" t="s">
        <v>1438</v>
      </c>
      <c r="J14" s="15" t="s">
        <v>1438</v>
      </c>
      <c r="K14" s="15" t="s">
        <v>1438</v>
      </c>
      <c r="L14" s="15" t="s">
        <v>1438</v>
      </c>
      <c r="M14" s="15" t="s">
        <v>1438</v>
      </c>
      <c r="N14" s="15" t="s">
        <v>1438</v>
      </c>
      <c r="O14" s="15" t="s">
        <v>1438</v>
      </c>
      <c r="P14" s="15" t="s">
        <v>1438</v>
      </c>
      <c r="Q14" s="15" t="s">
        <v>1438</v>
      </c>
      <c r="R14" s="15" t="s">
        <v>1438</v>
      </c>
      <c r="S14" s="15" t="s">
        <v>1438</v>
      </c>
      <c r="T14" s="15" t="s">
        <v>1438</v>
      </c>
      <c r="U14" s="15" t="s">
        <v>1438</v>
      </c>
      <c r="V14" s="15" t="n">
        <f aca="false">COUNTIF(I14:U14,"Pass")</f>
        <v>13</v>
      </c>
    </row>
    <row r="15" customFormat="false" ht="15" hidden="false" customHeight="false" outlineLevel="0" collapsed="false">
      <c r="A15" s="15" t="n">
        <v>14</v>
      </c>
      <c r="B15" s="15" t="s">
        <v>251</v>
      </c>
      <c r="C15" s="15" t="s">
        <v>246</v>
      </c>
      <c r="D15" s="15" t="s">
        <v>248</v>
      </c>
      <c r="E15" s="15" t="s">
        <v>252</v>
      </c>
      <c r="F15" s="15" t="n">
        <v>1856</v>
      </c>
      <c r="G15" s="15" t="n">
        <v>1800</v>
      </c>
      <c r="H15" s="15" t="str">
        <f aca="false">IF(COUNTIF(I15:U15,"Fail")=0,"PASS","FAIL")</f>
        <v>PASS</v>
      </c>
      <c r="I15" s="15" t="s">
        <v>1438</v>
      </c>
      <c r="J15" s="15" t="s">
        <v>1438</v>
      </c>
      <c r="K15" s="15" t="s">
        <v>1438</v>
      </c>
      <c r="L15" s="15" t="s">
        <v>1438</v>
      </c>
      <c r="M15" s="15" t="s">
        <v>1438</v>
      </c>
      <c r="N15" s="15" t="s">
        <v>1438</v>
      </c>
      <c r="O15" s="15" t="s">
        <v>1438</v>
      </c>
      <c r="P15" s="15" t="s">
        <v>1438</v>
      </c>
      <c r="Q15" s="15" t="s">
        <v>1438</v>
      </c>
      <c r="R15" s="15" t="s">
        <v>1438</v>
      </c>
      <c r="S15" s="15" t="s">
        <v>1438</v>
      </c>
      <c r="T15" s="15" t="s">
        <v>1438</v>
      </c>
      <c r="U15" s="15" t="s">
        <v>1438</v>
      </c>
      <c r="V15" s="15" t="n">
        <f aca="false">COUNTIF(I15:U15,"Pass")</f>
        <v>13</v>
      </c>
    </row>
    <row r="16" customFormat="false" ht="15" hidden="false" customHeight="false" outlineLevel="0" collapsed="false">
      <c r="A16" s="15" t="n">
        <v>15</v>
      </c>
      <c r="B16" s="15" t="s">
        <v>927</v>
      </c>
      <c r="C16" s="15" t="s">
        <v>926</v>
      </c>
      <c r="D16" s="15" t="s">
        <v>127</v>
      </c>
      <c r="E16" s="15" t="s">
        <v>929</v>
      </c>
      <c r="F16" s="15" t="n">
        <v>2599</v>
      </c>
      <c r="G16" s="15" t="n">
        <v>2600</v>
      </c>
      <c r="H16" s="15" t="str">
        <f aca="false">IF(COUNTIF(I16:U16,"Fail")=0,"PASS","FAIL")</f>
        <v>PASS</v>
      </c>
      <c r="I16" s="15" t="s">
        <v>1438</v>
      </c>
      <c r="J16" s="15" t="s">
        <v>1438</v>
      </c>
      <c r="K16" s="15" t="s">
        <v>1438</v>
      </c>
      <c r="L16" s="15" t="s">
        <v>1438</v>
      </c>
      <c r="M16" s="15" t="s">
        <v>1438</v>
      </c>
      <c r="N16" s="15" t="s">
        <v>1438</v>
      </c>
      <c r="O16" s="15" t="s">
        <v>1438</v>
      </c>
      <c r="P16" s="15" t="s">
        <v>1438</v>
      </c>
      <c r="Q16" s="15" t="s">
        <v>1438</v>
      </c>
      <c r="R16" s="15" t="s">
        <v>1438</v>
      </c>
      <c r="S16" s="15" t="s">
        <v>1438</v>
      </c>
      <c r="T16" s="15" t="s">
        <v>1438</v>
      </c>
      <c r="U16" s="15" t="s">
        <v>1438</v>
      </c>
      <c r="V16" s="15" t="n">
        <f aca="false">COUNTIF(I16:U16,"Pass")</f>
        <v>13</v>
      </c>
    </row>
    <row r="17" customFormat="false" ht="23.85" hidden="false" customHeight="false" outlineLevel="0" collapsed="false">
      <c r="A17" s="15" t="n">
        <v>16</v>
      </c>
      <c r="B17" s="15" t="s">
        <v>480</v>
      </c>
      <c r="C17" s="15" t="s">
        <v>477</v>
      </c>
      <c r="D17" s="15" t="s">
        <v>127</v>
      </c>
      <c r="E17" s="15" t="s">
        <v>481</v>
      </c>
      <c r="F17" s="15" t="n">
        <v>2433</v>
      </c>
      <c r="G17" s="15" t="n">
        <v>2400</v>
      </c>
      <c r="H17" s="15" t="str">
        <f aca="false">IF(COUNTIF(I17:U17,"Fail")=0,"PASS","FAIL")</f>
        <v>PASS</v>
      </c>
      <c r="I17" s="15" t="s">
        <v>1438</v>
      </c>
      <c r="J17" s="15" t="s">
        <v>1438</v>
      </c>
      <c r="K17" s="15" t="s">
        <v>1438</v>
      </c>
      <c r="L17" s="15" t="s">
        <v>1438</v>
      </c>
      <c r="M17" s="15" t="s">
        <v>1438</v>
      </c>
      <c r="N17" s="15" t="s">
        <v>1438</v>
      </c>
      <c r="O17" s="15" t="s">
        <v>1438</v>
      </c>
      <c r="P17" s="15" t="s">
        <v>1438</v>
      </c>
      <c r="Q17" s="15" t="s">
        <v>1438</v>
      </c>
      <c r="R17" s="15" t="s">
        <v>1438</v>
      </c>
      <c r="S17" s="15" t="s">
        <v>1438</v>
      </c>
      <c r="T17" s="15" t="s">
        <v>1438</v>
      </c>
      <c r="U17" s="15" t="s">
        <v>1438</v>
      </c>
      <c r="V17" s="15" t="n">
        <f aca="false">COUNTIF(I17:U17,"Pass")</f>
        <v>13</v>
      </c>
    </row>
    <row r="18" customFormat="false" ht="15" hidden="false" customHeight="false" outlineLevel="0" collapsed="false">
      <c r="A18" s="15" t="n">
        <v>17</v>
      </c>
      <c r="B18" s="15" t="s">
        <v>489</v>
      </c>
      <c r="C18" s="15" t="s">
        <v>486</v>
      </c>
      <c r="D18" s="15" t="s">
        <v>248</v>
      </c>
      <c r="E18" s="15" t="s">
        <v>490</v>
      </c>
      <c r="F18" s="15" t="n">
        <v>1721</v>
      </c>
      <c r="G18" s="15" t="n">
        <v>1600</v>
      </c>
      <c r="H18" s="15" t="str">
        <f aca="false">IF(COUNTIF(I18:U18,"Fail")=0,"PASS","FAIL")</f>
        <v>PASS</v>
      </c>
      <c r="I18" s="15" t="s">
        <v>1438</v>
      </c>
      <c r="J18" s="15" t="s">
        <v>1438</v>
      </c>
      <c r="K18" s="15" t="s">
        <v>1438</v>
      </c>
      <c r="L18" s="15" t="s">
        <v>1438</v>
      </c>
      <c r="M18" s="15" t="s">
        <v>1438</v>
      </c>
      <c r="N18" s="15" t="s">
        <v>1438</v>
      </c>
      <c r="O18" s="15" t="s">
        <v>1438</v>
      </c>
      <c r="P18" s="15" t="s">
        <v>1438</v>
      </c>
      <c r="Q18" s="15" t="s">
        <v>1438</v>
      </c>
      <c r="R18" s="15" t="s">
        <v>1438</v>
      </c>
      <c r="S18" s="15" t="s">
        <v>1438</v>
      </c>
      <c r="T18" s="15" t="s">
        <v>1438</v>
      </c>
      <c r="U18" s="15" t="s">
        <v>1438</v>
      </c>
      <c r="V18" s="15" t="n">
        <f aca="false">COUNTIF(I18:U18,"Pass")</f>
        <v>13</v>
      </c>
    </row>
    <row r="19" customFormat="false" ht="23.85" hidden="false" customHeight="false" outlineLevel="0" collapsed="false">
      <c r="A19" s="15" t="n">
        <v>18</v>
      </c>
      <c r="B19" s="15" t="s">
        <v>507</v>
      </c>
      <c r="C19" s="15" t="s">
        <v>504</v>
      </c>
      <c r="D19" s="15" t="s">
        <v>248</v>
      </c>
      <c r="E19" s="15" t="s">
        <v>508</v>
      </c>
      <c r="F19" s="15" t="n">
        <v>1270</v>
      </c>
      <c r="G19" s="15" t="n">
        <v>1200</v>
      </c>
      <c r="H19" s="15" t="str">
        <f aca="false">IF(COUNTIF(I19:U19,"Fail")=0,"PASS","FAIL")</f>
        <v>PASS</v>
      </c>
      <c r="I19" s="15" t="s">
        <v>1438</v>
      </c>
      <c r="J19" s="15" t="s">
        <v>1438</v>
      </c>
      <c r="K19" s="15" t="s">
        <v>1438</v>
      </c>
      <c r="L19" s="15" t="s">
        <v>1438</v>
      </c>
      <c r="M19" s="15" t="s">
        <v>1438</v>
      </c>
      <c r="N19" s="15" t="s">
        <v>1438</v>
      </c>
      <c r="O19" s="15" t="s">
        <v>1438</v>
      </c>
      <c r="P19" s="15" t="s">
        <v>1438</v>
      </c>
      <c r="Q19" s="15" t="s">
        <v>1438</v>
      </c>
      <c r="R19" s="15" t="s">
        <v>1438</v>
      </c>
      <c r="S19" s="15" t="s">
        <v>1438</v>
      </c>
      <c r="T19" s="15" t="s">
        <v>1438</v>
      </c>
      <c r="U19" s="15" t="s">
        <v>1438</v>
      </c>
      <c r="V19" s="15" t="n">
        <f aca="false">COUNTIF(I19:U19,"Pass")</f>
        <v>13</v>
      </c>
    </row>
    <row r="20" customFormat="false" ht="15" hidden="false" customHeight="false" outlineLevel="0" collapsed="false">
      <c r="A20" s="15" t="n">
        <v>19</v>
      </c>
      <c r="B20" s="15" t="s">
        <v>550</v>
      </c>
      <c r="C20" s="15" t="s">
        <v>549</v>
      </c>
      <c r="D20" s="15" t="s">
        <v>248</v>
      </c>
      <c r="E20" s="15" t="s">
        <v>552</v>
      </c>
      <c r="F20" s="15" t="n">
        <v>1836</v>
      </c>
      <c r="G20" s="15" t="n">
        <v>1800</v>
      </c>
      <c r="H20" s="15" t="str">
        <f aca="false">IF(COUNTIF(I20:U20,"Fail")=0,"PASS","FAIL")</f>
        <v>PASS</v>
      </c>
      <c r="I20" s="15" t="s">
        <v>1438</v>
      </c>
      <c r="J20" s="15" t="s">
        <v>1438</v>
      </c>
      <c r="K20" s="15" t="s">
        <v>1438</v>
      </c>
      <c r="L20" s="15" t="s">
        <v>1438</v>
      </c>
      <c r="M20" s="15" t="s">
        <v>1438</v>
      </c>
      <c r="N20" s="15" t="s">
        <v>1438</v>
      </c>
      <c r="O20" s="15" t="s">
        <v>1438</v>
      </c>
      <c r="P20" s="15" t="s">
        <v>1438</v>
      </c>
      <c r="Q20" s="15" t="s">
        <v>1438</v>
      </c>
      <c r="R20" s="15" t="s">
        <v>1438</v>
      </c>
      <c r="S20" s="15" t="s">
        <v>1438</v>
      </c>
      <c r="T20" s="15" t="s">
        <v>1438</v>
      </c>
      <c r="U20" s="15" t="s">
        <v>1438</v>
      </c>
      <c r="V20" s="15" t="n">
        <f aca="false">COUNTIF(I20:U20,"Pass")</f>
        <v>13</v>
      </c>
    </row>
    <row r="21" customFormat="false" ht="15" hidden="false" customHeight="false" outlineLevel="0" collapsed="false">
      <c r="A21" s="15" t="n">
        <v>20</v>
      </c>
      <c r="B21" s="15" t="s">
        <v>325</v>
      </c>
      <c r="C21" s="15" t="s">
        <v>322</v>
      </c>
      <c r="D21" s="15" t="s">
        <v>127</v>
      </c>
      <c r="E21" s="15" t="s">
        <v>326</v>
      </c>
      <c r="F21" s="15" t="n">
        <v>2400</v>
      </c>
      <c r="G21" s="15" t="n">
        <v>2000</v>
      </c>
      <c r="H21" s="15" t="str">
        <f aca="false">IF(COUNTIF(I21:U21,"Fail")=0,"PASS","FAIL")</f>
        <v>PASS</v>
      </c>
      <c r="I21" s="15" t="s">
        <v>1438</v>
      </c>
      <c r="J21" s="15" t="s">
        <v>1438</v>
      </c>
      <c r="K21" s="15" t="s">
        <v>1438</v>
      </c>
      <c r="L21" s="15" t="s">
        <v>1438</v>
      </c>
      <c r="M21" s="15" t="s">
        <v>1438</v>
      </c>
      <c r="N21" s="15" t="s">
        <v>1438</v>
      </c>
      <c r="O21" s="15" t="s">
        <v>1438</v>
      </c>
      <c r="P21" s="15" t="s">
        <v>1438</v>
      </c>
      <c r="Q21" s="15" t="s">
        <v>1438</v>
      </c>
      <c r="R21" s="15" t="s">
        <v>1438</v>
      </c>
      <c r="S21" s="15" t="s">
        <v>1438</v>
      </c>
      <c r="T21" s="15" t="s">
        <v>1438</v>
      </c>
      <c r="U21" s="15" t="s">
        <v>1438</v>
      </c>
      <c r="V21" s="15" t="n">
        <f aca="false">COUNTIF(I21:U21,"Pass")</f>
        <v>13</v>
      </c>
    </row>
    <row r="22" customFormat="false" ht="23.85" hidden="false" customHeight="false" outlineLevel="0" collapsed="false">
      <c r="A22" s="15" t="n">
        <v>21</v>
      </c>
      <c r="B22" s="15" t="s">
        <v>371</v>
      </c>
      <c r="C22" s="15" t="s">
        <v>368</v>
      </c>
      <c r="D22" s="15" t="s">
        <v>248</v>
      </c>
      <c r="E22" s="15" t="s">
        <v>372</v>
      </c>
      <c r="F22" s="15" t="n">
        <v>2063</v>
      </c>
      <c r="G22" s="15" t="n">
        <v>2200</v>
      </c>
      <c r="H22" s="15" t="str">
        <f aca="false">IF(COUNTIF(I22:U22,"Fail")=0,"PASS","FAIL")</f>
        <v>PASS</v>
      </c>
      <c r="I22" s="15" t="s">
        <v>1438</v>
      </c>
      <c r="J22" s="15" t="s">
        <v>1438</v>
      </c>
      <c r="K22" s="15" t="s">
        <v>1438</v>
      </c>
      <c r="L22" s="15" t="s">
        <v>1438</v>
      </c>
      <c r="M22" s="15" t="s">
        <v>1438</v>
      </c>
      <c r="N22" s="15" t="s">
        <v>1438</v>
      </c>
      <c r="O22" s="15" t="s">
        <v>1438</v>
      </c>
      <c r="P22" s="15" t="s">
        <v>1438</v>
      </c>
      <c r="Q22" s="15" t="s">
        <v>1438</v>
      </c>
      <c r="R22" s="15" t="s">
        <v>1438</v>
      </c>
      <c r="S22" s="15" t="s">
        <v>1438</v>
      </c>
      <c r="T22" s="15" t="s">
        <v>1438</v>
      </c>
      <c r="U22" s="15" t="s">
        <v>1438</v>
      </c>
      <c r="V22" s="15" t="n">
        <f aca="false">COUNTIF(I22:U22,"Pass")</f>
        <v>13</v>
      </c>
    </row>
    <row r="23" customFormat="false" ht="23.85" hidden="false" customHeight="false" outlineLevel="0" collapsed="false">
      <c r="A23" s="15" t="n">
        <v>22</v>
      </c>
      <c r="B23" s="15" t="s">
        <v>769</v>
      </c>
      <c r="C23" s="15" t="s">
        <v>766</v>
      </c>
      <c r="D23" s="15" t="s">
        <v>127</v>
      </c>
      <c r="E23" s="15" t="s">
        <v>770</v>
      </c>
      <c r="F23" s="15" t="n">
        <v>2533</v>
      </c>
      <c r="G23" s="15" t="n">
        <v>2600</v>
      </c>
      <c r="H23" s="15" t="str">
        <f aca="false">IF(COUNTIF(I23:U23,"Fail")=0,"PASS","FAIL")</f>
        <v>PASS</v>
      </c>
      <c r="I23" s="15" t="s">
        <v>1438</v>
      </c>
      <c r="J23" s="15" t="s">
        <v>1438</v>
      </c>
      <c r="K23" s="15" t="s">
        <v>1438</v>
      </c>
      <c r="L23" s="15" t="s">
        <v>1438</v>
      </c>
      <c r="M23" s="15" t="s">
        <v>1438</v>
      </c>
      <c r="N23" s="15" t="s">
        <v>1438</v>
      </c>
      <c r="O23" s="15" t="s">
        <v>1438</v>
      </c>
      <c r="P23" s="15" t="s">
        <v>1438</v>
      </c>
      <c r="Q23" s="15" t="s">
        <v>1438</v>
      </c>
      <c r="R23" s="15" t="s">
        <v>1438</v>
      </c>
      <c r="S23" s="15" t="s">
        <v>1438</v>
      </c>
      <c r="T23" s="15" t="s">
        <v>1438</v>
      </c>
      <c r="U23" s="15" t="s">
        <v>1438</v>
      </c>
      <c r="V23" s="15" t="n">
        <f aca="false">COUNTIF(I23:U23,"Pass")</f>
        <v>13</v>
      </c>
    </row>
    <row r="24" customFormat="false" ht="15" hidden="false" customHeight="false" outlineLevel="0" collapsed="false">
      <c r="A24" s="15" t="n">
        <v>23</v>
      </c>
      <c r="B24" s="15" t="s">
        <v>743</v>
      </c>
      <c r="C24" s="15" t="s">
        <v>740</v>
      </c>
      <c r="D24" s="15" t="s">
        <v>127</v>
      </c>
      <c r="E24" s="15" t="s">
        <v>142</v>
      </c>
      <c r="F24" s="15" t="n">
        <v>2188</v>
      </c>
      <c r="G24" s="15" t="n">
        <v>2400</v>
      </c>
      <c r="H24" s="15" t="str">
        <f aca="false">IF(COUNTIF(I24:U24,"Fail")=0,"PASS","FAIL")</f>
        <v>PASS</v>
      </c>
      <c r="I24" s="15" t="s">
        <v>1438</v>
      </c>
      <c r="J24" s="15" t="s">
        <v>1438</v>
      </c>
      <c r="K24" s="15" t="s">
        <v>1438</v>
      </c>
      <c r="L24" s="15" t="s">
        <v>1438</v>
      </c>
      <c r="M24" s="15" t="s">
        <v>1438</v>
      </c>
      <c r="N24" s="15" t="s">
        <v>1438</v>
      </c>
      <c r="O24" s="15" t="s">
        <v>1438</v>
      </c>
      <c r="P24" s="15" t="s">
        <v>1438</v>
      </c>
      <c r="Q24" s="15" t="s">
        <v>1438</v>
      </c>
      <c r="R24" s="15" t="s">
        <v>1438</v>
      </c>
      <c r="S24" s="15" t="s">
        <v>1438</v>
      </c>
      <c r="T24" s="15" t="s">
        <v>1438</v>
      </c>
      <c r="U24" s="15" t="s">
        <v>1438</v>
      </c>
      <c r="V24" s="15" t="n">
        <f aca="false">COUNTIF(I24:U24,"Pass")</f>
        <v>13</v>
      </c>
    </row>
    <row r="25" customFormat="false" ht="15" hidden="false" customHeight="false" outlineLevel="0" collapsed="false">
      <c r="A25" s="15" t="n">
        <v>24</v>
      </c>
      <c r="B25" s="15" t="s">
        <v>380</v>
      </c>
      <c r="C25" s="15" t="s">
        <v>377</v>
      </c>
      <c r="D25" s="15" t="s">
        <v>127</v>
      </c>
      <c r="E25" s="15" t="s">
        <v>381</v>
      </c>
      <c r="F25" s="15" t="n">
        <v>2417</v>
      </c>
      <c r="G25" s="15" t="n">
        <v>2600</v>
      </c>
      <c r="H25" s="15" t="str">
        <f aca="false">IF(COUNTIF(I25:U25,"Fail")=0,"PASS","FAIL")</f>
        <v>PASS</v>
      </c>
      <c r="I25" s="15" t="s">
        <v>1438</v>
      </c>
      <c r="J25" s="15" t="s">
        <v>1438</v>
      </c>
      <c r="K25" s="15" t="s">
        <v>1438</v>
      </c>
      <c r="L25" s="15" t="s">
        <v>1438</v>
      </c>
      <c r="M25" s="15" t="s">
        <v>1438</v>
      </c>
      <c r="N25" s="15" t="s">
        <v>1438</v>
      </c>
      <c r="O25" s="15" t="s">
        <v>1438</v>
      </c>
      <c r="P25" s="15" t="s">
        <v>1438</v>
      </c>
      <c r="Q25" s="15" t="s">
        <v>1438</v>
      </c>
      <c r="R25" s="15" t="s">
        <v>1438</v>
      </c>
      <c r="S25" s="15" t="s">
        <v>1438</v>
      </c>
      <c r="T25" s="15" t="s">
        <v>1438</v>
      </c>
      <c r="U25" s="15" t="s">
        <v>1438</v>
      </c>
      <c r="V25" s="15" t="n">
        <f aca="false">COUNTIF(I25:U25,"Pass")</f>
        <v>13</v>
      </c>
    </row>
    <row r="26" customFormat="false" ht="15" hidden="false" customHeight="false" outlineLevel="0" collapsed="false">
      <c r="A26" s="15" t="n">
        <v>25</v>
      </c>
      <c r="B26" s="15" t="s">
        <v>971</v>
      </c>
      <c r="C26" s="15" t="s">
        <v>967</v>
      </c>
      <c r="D26" s="15" t="s">
        <v>127</v>
      </c>
      <c r="E26" s="15" t="s">
        <v>972</v>
      </c>
      <c r="F26" s="15" t="n">
        <v>1382</v>
      </c>
      <c r="G26" s="15" t="n">
        <v>1200</v>
      </c>
      <c r="H26" s="15" t="str">
        <f aca="false">IF(COUNTIF(I26:U26,"Fail")=0,"PASS","FAIL")</f>
        <v>PASS</v>
      </c>
      <c r="I26" s="15" t="s">
        <v>1438</v>
      </c>
      <c r="J26" s="15" t="s">
        <v>1438</v>
      </c>
      <c r="K26" s="15" t="s">
        <v>1438</v>
      </c>
      <c r="L26" s="15" t="s">
        <v>1438</v>
      </c>
      <c r="M26" s="15" t="s">
        <v>1438</v>
      </c>
      <c r="N26" s="15" t="s">
        <v>1438</v>
      </c>
      <c r="O26" s="15" t="s">
        <v>1438</v>
      </c>
      <c r="P26" s="15" t="s">
        <v>1438</v>
      </c>
      <c r="Q26" s="15" t="s">
        <v>1438</v>
      </c>
      <c r="R26" s="15" t="s">
        <v>1438</v>
      </c>
      <c r="S26" s="15" t="s">
        <v>1438</v>
      </c>
      <c r="T26" s="15" t="s">
        <v>1438</v>
      </c>
      <c r="U26" s="15" t="s">
        <v>1438</v>
      </c>
      <c r="V26" s="15" t="n">
        <f aca="false">COUNTIF(I26:U26,"Pass")</f>
        <v>13</v>
      </c>
    </row>
    <row r="27" customFormat="false" ht="15" hidden="false" customHeight="false" outlineLevel="0" collapsed="false">
      <c r="A27" s="15" t="n">
        <v>26</v>
      </c>
      <c r="B27" s="15" t="s">
        <v>691</v>
      </c>
      <c r="C27" s="15" t="s">
        <v>688</v>
      </c>
      <c r="D27" s="15" t="s">
        <v>127</v>
      </c>
      <c r="E27" s="15" t="s">
        <v>692</v>
      </c>
      <c r="F27" s="15" t="n">
        <v>1983</v>
      </c>
      <c r="G27" s="15" t="n">
        <v>2200</v>
      </c>
      <c r="H27" s="15" t="str">
        <f aca="false">IF(COUNTIF(I27:U27,"Fail")=0,"PASS","FAIL")</f>
        <v>PASS</v>
      </c>
      <c r="I27" s="15" t="s">
        <v>1438</v>
      </c>
      <c r="J27" s="15" t="s">
        <v>1438</v>
      </c>
      <c r="K27" s="15" t="s">
        <v>1438</v>
      </c>
      <c r="L27" s="15" t="s">
        <v>1438</v>
      </c>
      <c r="M27" s="15" t="s">
        <v>1438</v>
      </c>
      <c r="N27" s="15" t="s">
        <v>1438</v>
      </c>
      <c r="O27" s="15" t="s">
        <v>1438</v>
      </c>
      <c r="P27" s="15" t="s">
        <v>1438</v>
      </c>
      <c r="Q27" s="15" t="s">
        <v>1438</v>
      </c>
      <c r="R27" s="15" t="s">
        <v>1438</v>
      </c>
      <c r="S27" s="15" t="s">
        <v>1438</v>
      </c>
      <c r="T27" s="15" t="s">
        <v>1438</v>
      </c>
      <c r="U27" s="15" t="s">
        <v>1438</v>
      </c>
      <c r="V27" s="15" t="n">
        <f aca="false">COUNTIF(I27:U27,"Pass")</f>
        <v>13</v>
      </c>
    </row>
    <row r="28" customFormat="false" ht="23.85" hidden="false" customHeight="false" outlineLevel="0" collapsed="false">
      <c r="A28" s="15" t="n">
        <v>27</v>
      </c>
      <c r="B28" s="15" t="s">
        <v>525</v>
      </c>
      <c r="C28" s="15" t="s">
        <v>522</v>
      </c>
      <c r="D28" s="15" t="s">
        <v>127</v>
      </c>
      <c r="E28" s="15" t="s">
        <v>526</v>
      </c>
      <c r="F28" s="15" t="n">
        <v>1794</v>
      </c>
      <c r="G28" s="15" t="n">
        <v>2000</v>
      </c>
      <c r="H28" s="15" t="str">
        <f aca="false">IF(COUNTIF(I28:U28,"Fail")=0,"PASS","FAIL")</f>
        <v>PASS</v>
      </c>
      <c r="I28" s="15" t="s">
        <v>1438</v>
      </c>
      <c r="J28" s="15" t="s">
        <v>1438</v>
      </c>
      <c r="K28" s="15" t="s">
        <v>1438</v>
      </c>
      <c r="L28" s="15" t="s">
        <v>1438</v>
      </c>
      <c r="M28" s="15" t="s">
        <v>1438</v>
      </c>
      <c r="N28" s="15" t="s">
        <v>1438</v>
      </c>
      <c r="O28" s="15" t="s">
        <v>1438</v>
      </c>
      <c r="P28" s="15" t="s">
        <v>1438</v>
      </c>
      <c r="Q28" s="15" t="s">
        <v>1438</v>
      </c>
      <c r="R28" s="15" t="s">
        <v>1438</v>
      </c>
      <c r="S28" s="15" t="s">
        <v>1438</v>
      </c>
      <c r="T28" s="15" t="s">
        <v>1438</v>
      </c>
      <c r="U28" s="15" t="s">
        <v>1438</v>
      </c>
      <c r="V28" s="15" t="n">
        <f aca="false">COUNTIF(I28:U28,"Pass")</f>
        <v>13</v>
      </c>
    </row>
    <row r="29" customFormat="false" ht="23.85" hidden="false" customHeight="false" outlineLevel="0" collapsed="false">
      <c r="A29" s="15" t="n">
        <v>28</v>
      </c>
      <c r="B29" s="15" t="s">
        <v>980</v>
      </c>
      <c r="C29" s="15" t="s">
        <v>977</v>
      </c>
      <c r="D29" s="15" t="s">
        <v>248</v>
      </c>
      <c r="E29" s="15" t="s">
        <v>981</v>
      </c>
      <c r="F29" s="15" t="n">
        <v>1510</v>
      </c>
      <c r="G29" s="15" t="n">
        <v>1600</v>
      </c>
      <c r="H29" s="15" t="str">
        <f aca="false">IF(COUNTIF(I29:U29,"Fail")=0,"PASS","FAIL")</f>
        <v>PASS</v>
      </c>
      <c r="I29" s="15" t="s">
        <v>1438</v>
      </c>
      <c r="J29" s="15" t="s">
        <v>1438</v>
      </c>
      <c r="K29" s="15" t="s">
        <v>1438</v>
      </c>
      <c r="L29" s="15" t="s">
        <v>1438</v>
      </c>
      <c r="M29" s="15" t="s">
        <v>1438</v>
      </c>
      <c r="N29" s="15" t="s">
        <v>1438</v>
      </c>
      <c r="O29" s="15" t="s">
        <v>1438</v>
      </c>
      <c r="P29" s="15" t="s">
        <v>1438</v>
      </c>
      <c r="Q29" s="15" t="s">
        <v>1438</v>
      </c>
      <c r="R29" s="15" t="s">
        <v>1438</v>
      </c>
      <c r="S29" s="15" t="s">
        <v>1438</v>
      </c>
      <c r="T29" s="15" t="s">
        <v>1438</v>
      </c>
      <c r="U29" s="15" t="s">
        <v>1438</v>
      </c>
      <c r="V29" s="15" t="n">
        <f aca="false">COUNTIF(I29:U29,"Pass")</f>
        <v>13</v>
      </c>
    </row>
    <row r="30" customFormat="false" ht="23.85" hidden="false" customHeight="false" outlineLevel="0" collapsed="false">
      <c r="A30" s="15" t="n">
        <v>29</v>
      </c>
      <c r="B30" s="15" t="s">
        <v>786</v>
      </c>
      <c r="C30" s="15" t="s">
        <v>783</v>
      </c>
      <c r="D30" s="15" t="s">
        <v>248</v>
      </c>
      <c r="E30" s="15" t="s">
        <v>787</v>
      </c>
      <c r="F30" s="15" t="n">
        <v>2121</v>
      </c>
      <c r="G30" s="15" t="n">
        <v>2000</v>
      </c>
      <c r="H30" s="15" t="str">
        <f aca="false">IF(COUNTIF(I30:U30,"Fail")=0,"PASS","FAIL")</f>
        <v>PASS</v>
      </c>
      <c r="I30" s="15" t="s">
        <v>1438</v>
      </c>
      <c r="J30" s="15" t="s">
        <v>1438</v>
      </c>
      <c r="K30" s="15" t="s">
        <v>1438</v>
      </c>
      <c r="L30" s="15" t="s">
        <v>1438</v>
      </c>
      <c r="M30" s="15" t="s">
        <v>1438</v>
      </c>
      <c r="N30" s="15" t="s">
        <v>1438</v>
      </c>
      <c r="O30" s="15" t="s">
        <v>1438</v>
      </c>
      <c r="P30" s="15" t="s">
        <v>1438</v>
      </c>
      <c r="Q30" s="15" t="s">
        <v>1438</v>
      </c>
      <c r="R30" s="15" t="s">
        <v>1438</v>
      </c>
      <c r="S30" s="15" t="s">
        <v>1438</v>
      </c>
      <c r="T30" s="15" t="s">
        <v>1438</v>
      </c>
      <c r="U30" s="15" t="s">
        <v>1438</v>
      </c>
      <c r="V30" s="15" t="n">
        <f aca="false">COUNTIF(I30:U30,"Pass")</f>
        <v>13</v>
      </c>
    </row>
    <row r="31" customFormat="false" ht="23.85" hidden="false" customHeight="false" outlineLevel="0" collapsed="false">
      <c r="A31" s="15" t="n">
        <v>30</v>
      </c>
      <c r="B31" s="15" t="s">
        <v>858</v>
      </c>
      <c r="C31" s="15" t="s">
        <v>855</v>
      </c>
      <c r="D31" s="15" t="s">
        <v>248</v>
      </c>
      <c r="E31" s="15" t="s">
        <v>859</v>
      </c>
      <c r="F31" s="15" t="n">
        <v>1966</v>
      </c>
      <c r="G31" s="15" t="n">
        <v>1400</v>
      </c>
      <c r="H31" s="15" t="str">
        <f aca="false">IF(COUNTIF(I31:U31,"Fail")=0,"PASS","FAIL")</f>
        <v>PASS</v>
      </c>
      <c r="I31" s="15" t="s">
        <v>1438</v>
      </c>
      <c r="J31" s="15" t="s">
        <v>1438</v>
      </c>
      <c r="K31" s="15" t="s">
        <v>1438</v>
      </c>
      <c r="L31" s="15" t="s">
        <v>1438</v>
      </c>
      <c r="M31" s="15" t="s">
        <v>1438</v>
      </c>
      <c r="N31" s="15" t="s">
        <v>1438</v>
      </c>
      <c r="O31" s="15" t="s">
        <v>1438</v>
      </c>
      <c r="P31" s="15" t="s">
        <v>1438</v>
      </c>
      <c r="Q31" s="15" t="s">
        <v>1438</v>
      </c>
      <c r="R31" s="15" t="s">
        <v>1438</v>
      </c>
      <c r="S31" s="15" t="s">
        <v>1438</v>
      </c>
      <c r="T31" s="15" t="s">
        <v>1438</v>
      </c>
      <c r="U31" s="15" t="s">
        <v>1438</v>
      </c>
      <c r="V31" s="15" t="n">
        <f aca="false">COUNTIF(I31:U31,"Pass")</f>
        <v>13</v>
      </c>
    </row>
    <row r="32" customFormat="false" ht="23.85" hidden="false" customHeight="false" outlineLevel="0" collapsed="false">
      <c r="A32" s="15" t="n">
        <v>31</v>
      </c>
      <c r="B32" s="15" t="s">
        <v>271</v>
      </c>
      <c r="C32" s="15" t="s">
        <v>267</v>
      </c>
      <c r="D32" s="15" t="s">
        <v>127</v>
      </c>
      <c r="E32" s="15" t="s">
        <v>272</v>
      </c>
      <c r="F32" s="15" t="n">
        <v>2211</v>
      </c>
      <c r="G32" s="15" t="n">
        <v>1800</v>
      </c>
      <c r="H32" s="15" t="str">
        <f aca="false">IF(COUNTIF(I32:U32,"Fail")=0,"PASS","FAIL")</f>
        <v>PASS</v>
      </c>
      <c r="I32" s="15" t="s">
        <v>1438</v>
      </c>
      <c r="J32" s="15" t="s">
        <v>1438</v>
      </c>
      <c r="K32" s="15" t="s">
        <v>1438</v>
      </c>
      <c r="L32" s="15" t="s">
        <v>1438</v>
      </c>
      <c r="M32" s="15" t="s">
        <v>1438</v>
      </c>
      <c r="N32" s="15" t="s">
        <v>1438</v>
      </c>
      <c r="O32" s="15" t="s">
        <v>1438</v>
      </c>
      <c r="P32" s="15" t="s">
        <v>1438</v>
      </c>
      <c r="Q32" s="15" t="s">
        <v>1438</v>
      </c>
      <c r="R32" s="15" t="s">
        <v>1438</v>
      </c>
      <c r="S32" s="15" t="s">
        <v>1438</v>
      </c>
      <c r="T32" s="15" t="s">
        <v>1438</v>
      </c>
      <c r="U32" s="15" t="s">
        <v>1438</v>
      </c>
      <c r="V32" s="15" t="n">
        <f aca="false">COUNTIF(I32:U32,"Pass")</f>
        <v>13</v>
      </c>
    </row>
    <row r="33" customFormat="false" ht="15" hidden="false" customHeight="false" outlineLevel="0" collapsed="false">
      <c r="A33" s="15" t="n">
        <v>32</v>
      </c>
      <c r="B33" s="15" t="s">
        <v>516</v>
      </c>
      <c r="C33" s="15" t="s">
        <v>513</v>
      </c>
      <c r="D33" s="15" t="s">
        <v>127</v>
      </c>
      <c r="E33" s="15" t="s">
        <v>517</v>
      </c>
      <c r="F33" s="15" t="n">
        <v>2939</v>
      </c>
      <c r="G33" s="15" t="n">
        <v>2600</v>
      </c>
      <c r="H33" s="15" t="str">
        <f aca="false">IF(COUNTIF(I33:U33,"Fail")=0,"PASS","FAIL")</f>
        <v>PASS</v>
      </c>
      <c r="I33" s="15" t="s">
        <v>1438</v>
      </c>
      <c r="J33" s="15" t="s">
        <v>1438</v>
      </c>
      <c r="K33" s="15" t="s">
        <v>1438</v>
      </c>
      <c r="L33" s="15" t="s">
        <v>1438</v>
      </c>
      <c r="M33" s="15" t="s">
        <v>1438</v>
      </c>
      <c r="N33" s="15" t="s">
        <v>1438</v>
      </c>
      <c r="O33" s="15" t="s">
        <v>1438</v>
      </c>
      <c r="P33" s="15" t="s">
        <v>1438</v>
      </c>
      <c r="Q33" s="15" t="s">
        <v>1438</v>
      </c>
      <c r="R33" s="15" t="s">
        <v>1438</v>
      </c>
      <c r="S33" s="15" t="s">
        <v>1438</v>
      </c>
      <c r="T33" s="15" t="s">
        <v>1438</v>
      </c>
      <c r="U33" s="15" t="s">
        <v>1438</v>
      </c>
      <c r="V33" s="15" t="n">
        <f aca="false">COUNTIF(I33:U33,"Pass")</f>
        <v>13</v>
      </c>
    </row>
    <row r="34" customFormat="false" ht="15" hidden="false" customHeight="false" outlineLevel="0" collapsed="false">
      <c r="A34" s="15" t="n">
        <v>33</v>
      </c>
      <c r="B34" s="15" t="s">
        <v>665</v>
      </c>
      <c r="C34" s="15" t="s">
        <v>662</v>
      </c>
      <c r="D34" s="15" t="s">
        <v>127</v>
      </c>
      <c r="E34" s="15" t="s">
        <v>666</v>
      </c>
      <c r="F34" s="15" t="n">
        <v>2484</v>
      </c>
      <c r="G34" s="15" t="n">
        <v>2400</v>
      </c>
      <c r="H34" s="15" t="str">
        <f aca="false">IF(COUNTIF(I34:U34,"Fail")=0,"PASS","FAIL")</f>
        <v>PASS</v>
      </c>
      <c r="I34" s="15" t="s">
        <v>1438</v>
      </c>
      <c r="J34" s="15" t="s">
        <v>1438</v>
      </c>
      <c r="K34" s="15" t="s">
        <v>1438</v>
      </c>
      <c r="L34" s="15" t="s">
        <v>1438</v>
      </c>
      <c r="M34" s="15" t="s">
        <v>1438</v>
      </c>
      <c r="N34" s="15" t="s">
        <v>1438</v>
      </c>
      <c r="O34" s="15" t="s">
        <v>1438</v>
      </c>
      <c r="P34" s="15" t="s">
        <v>1438</v>
      </c>
      <c r="Q34" s="15" t="s">
        <v>1438</v>
      </c>
      <c r="R34" s="15" t="s">
        <v>1438</v>
      </c>
      <c r="S34" s="15" t="s">
        <v>1438</v>
      </c>
      <c r="T34" s="15" t="s">
        <v>1438</v>
      </c>
      <c r="U34" s="15" t="s">
        <v>1438</v>
      </c>
      <c r="V34" s="15" t="n">
        <f aca="false">COUNTIF(I34:U34,"Pass")</f>
        <v>13</v>
      </c>
    </row>
    <row r="35" customFormat="false" ht="15" hidden="false" customHeight="false" outlineLevel="0" collapsed="false">
      <c r="A35" s="15" t="n">
        <v>34</v>
      </c>
      <c r="B35" s="15" t="s">
        <v>647</v>
      </c>
      <c r="C35" s="15" t="s">
        <v>646</v>
      </c>
      <c r="D35" s="15" t="s">
        <v>127</v>
      </c>
      <c r="E35" s="15" t="s">
        <v>649</v>
      </c>
      <c r="F35" s="15" t="n">
        <v>2527</v>
      </c>
      <c r="G35" s="15" t="n">
        <v>2400</v>
      </c>
      <c r="H35" s="15" t="str">
        <f aca="false">IF(COUNTIF(I35:U35,"Fail")=0,"PASS","FAIL")</f>
        <v>PASS</v>
      </c>
      <c r="I35" s="15" t="s">
        <v>1438</v>
      </c>
      <c r="J35" s="15" t="s">
        <v>1438</v>
      </c>
      <c r="K35" s="15" t="s">
        <v>1438</v>
      </c>
      <c r="L35" s="15" t="s">
        <v>1438</v>
      </c>
      <c r="M35" s="15" t="s">
        <v>1438</v>
      </c>
      <c r="N35" s="15" t="s">
        <v>1438</v>
      </c>
      <c r="O35" s="15" t="s">
        <v>1438</v>
      </c>
      <c r="P35" s="15" t="s">
        <v>1438</v>
      </c>
      <c r="Q35" s="15" t="s">
        <v>1438</v>
      </c>
      <c r="R35" s="15" t="s">
        <v>1438</v>
      </c>
      <c r="S35" s="15" t="s">
        <v>1438</v>
      </c>
      <c r="T35" s="15" t="s">
        <v>1438</v>
      </c>
      <c r="U35" s="15" t="s">
        <v>1438</v>
      </c>
      <c r="V35" s="15" t="n">
        <f aca="false">COUNTIF(I35:U35,"Pass")</f>
        <v>13</v>
      </c>
    </row>
    <row r="36" customFormat="false" ht="15" hidden="false" customHeight="false" outlineLevel="0" collapsed="false">
      <c r="A36" s="15" t="n">
        <v>35</v>
      </c>
      <c r="B36" s="15" t="s">
        <v>655</v>
      </c>
      <c r="C36" s="15" t="s">
        <v>654</v>
      </c>
      <c r="D36" s="15" t="s">
        <v>248</v>
      </c>
      <c r="E36" s="15" t="s">
        <v>657</v>
      </c>
      <c r="F36" s="15" t="n">
        <v>2448</v>
      </c>
      <c r="G36" s="15" t="n">
        <v>2200</v>
      </c>
      <c r="H36" s="15" t="str">
        <f aca="false">IF(COUNTIF(I36:U36,"Fail")=0,"PASS","FAIL")</f>
        <v>PASS</v>
      </c>
      <c r="I36" s="15" t="s">
        <v>1438</v>
      </c>
      <c r="J36" s="15" t="s">
        <v>1438</v>
      </c>
      <c r="K36" s="15" t="s">
        <v>1438</v>
      </c>
      <c r="L36" s="15" t="s">
        <v>1438</v>
      </c>
      <c r="M36" s="15" t="s">
        <v>1438</v>
      </c>
      <c r="N36" s="15" t="s">
        <v>1438</v>
      </c>
      <c r="O36" s="15" t="s">
        <v>1438</v>
      </c>
      <c r="P36" s="15" t="s">
        <v>1438</v>
      </c>
      <c r="Q36" s="15" t="s">
        <v>1438</v>
      </c>
      <c r="R36" s="15" t="s">
        <v>1438</v>
      </c>
      <c r="S36" s="15" t="s">
        <v>1438</v>
      </c>
      <c r="T36" s="15" t="s">
        <v>1438</v>
      </c>
      <c r="U36" s="15" t="s">
        <v>1438</v>
      </c>
      <c r="V36" s="15" t="n">
        <f aca="false">COUNTIF(I36:U36,"Pass")</f>
        <v>13</v>
      </c>
    </row>
    <row r="37" customFormat="false" ht="15" hidden="false" customHeight="false" outlineLevel="0" collapsed="false">
      <c r="A37" s="15" t="n">
        <v>36</v>
      </c>
      <c r="B37" s="15" t="s">
        <v>498</v>
      </c>
      <c r="C37" s="15" t="s">
        <v>495</v>
      </c>
      <c r="D37" s="15" t="s">
        <v>127</v>
      </c>
      <c r="E37" s="15" t="s">
        <v>499</v>
      </c>
      <c r="F37" s="15" t="n">
        <v>2525</v>
      </c>
      <c r="G37" s="15" t="n">
        <v>2400</v>
      </c>
      <c r="H37" s="15" t="str">
        <f aca="false">IF(COUNTIF(I37:U37,"Fail")=0,"PASS","FAIL")</f>
        <v>PASS</v>
      </c>
      <c r="I37" s="15" t="s">
        <v>1438</v>
      </c>
      <c r="J37" s="15" t="s">
        <v>1438</v>
      </c>
      <c r="K37" s="15" t="s">
        <v>1438</v>
      </c>
      <c r="L37" s="15" t="s">
        <v>1438</v>
      </c>
      <c r="M37" s="15" t="s">
        <v>1438</v>
      </c>
      <c r="N37" s="15" t="s">
        <v>1438</v>
      </c>
      <c r="O37" s="15" t="s">
        <v>1438</v>
      </c>
      <c r="P37" s="15" t="s">
        <v>1438</v>
      </c>
      <c r="Q37" s="15" t="s">
        <v>1438</v>
      </c>
      <c r="R37" s="15" t="s">
        <v>1438</v>
      </c>
      <c r="S37" s="15" t="s">
        <v>1438</v>
      </c>
      <c r="T37" s="15" t="s">
        <v>1438</v>
      </c>
      <c r="U37" s="15" t="s">
        <v>1438</v>
      </c>
      <c r="V37" s="15" t="n">
        <f aca="false">COUNTIF(I37:U37,"Pass")</f>
        <v>13</v>
      </c>
    </row>
    <row r="38" customFormat="false" ht="15" hidden="false" customHeight="false" outlineLevel="0" collapsed="false">
      <c r="A38" s="15" t="n">
        <v>37</v>
      </c>
      <c r="B38" s="15" t="s">
        <v>672</v>
      </c>
      <c r="C38" s="15" t="s">
        <v>671</v>
      </c>
      <c r="D38" s="15" t="s">
        <v>127</v>
      </c>
      <c r="E38" s="15" t="s">
        <v>674</v>
      </c>
      <c r="F38" s="15" t="n">
        <v>2530</v>
      </c>
      <c r="G38" s="15" t="n">
        <v>2400</v>
      </c>
      <c r="H38" s="15" t="str">
        <f aca="false">IF(COUNTIF(I38:U38,"Fail")=0,"PASS","FAIL")</f>
        <v>PASS</v>
      </c>
      <c r="I38" s="15" t="s">
        <v>1438</v>
      </c>
      <c r="J38" s="15" t="s">
        <v>1438</v>
      </c>
      <c r="K38" s="15" t="s">
        <v>1438</v>
      </c>
      <c r="L38" s="15" t="s">
        <v>1438</v>
      </c>
      <c r="M38" s="15" t="s">
        <v>1438</v>
      </c>
      <c r="N38" s="15" t="s">
        <v>1438</v>
      </c>
      <c r="O38" s="15" t="s">
        <v>1438</v>
      </c>
      <c r="P38" s="15" t="s">
        <v>1438</v>
      </c>
      <c r="Q38" s="15" t="s">
        <v>1438</v>
      </c>
      <c r="R38" s="15" t="s">
        <v>1438</v>
      </c>
      <c r="S38" s="15" t="s">
        <v>1438</v>
      </c>
      <c r="T38" s="15" t="s">
        <v>1438</v>
      </c>
      <c r="U38" s="15" t="s">
        <v>1438</v>
      </c>
      <c r="V38" s="15" t="n">
        <f aca="false">COUNTIF(I38:U38,"Pass")</f>
        <v>13</v>
      </c>
    </row>
    <row r="39" customFormat="false" ht="23.85" hidden="false" customHeight="false" outlineLevel="0" collapsed="false">
      <c r="A39" s="15" t="n">
        <v>38</v>
      </c>
      <c r="B39" s="15" t="s">
        <v>353</v>
      </c>
      <c r="C39" s="15" t="s">
        <v>349</v>
      </c>
      <c r="D39" s="15" t="s">
        <v>127</v>
      </c>
      <c r="E39" s="15" t="s">
        <v>354</v>
      </c>
      <c r="F39" s="15" t="n">
        <v>2819</v>
      </c>
      <c r="G39" s="15" t="n">
        <v>2600</v>
      </c>
      <c r="H39" s="15" t="str">
        <f aca="false">IF(COUNTIF(I39:U39,"Fail")=0,"PASS","FAIL")</f>
        <v>PASS</v>
      </c>
      <c r="I39" s="15" t="s">
        <v>1438</v>
      </c>
      <c r="J39" s="15" t="s">
        <v>1438</v>
      </c>
      <c r="K39" s="15" t="s">
        <v>1438</v>
      </c>
      <c r="L39" s="15" t="s">
        <v>1438</v>
      </c>
      <c r="M39" s="15" t="s">
        <v>1438</v>
      </c>
      <c r="N39" s="15" t="s">
        <v>1438</v>
      </c>
      <c r="O39" s="15" t="s">
        <v>1438</v>
      </c>
      <c r="P39" s="15" t="s">
        <v>1438</v>
      </c>
      <c r="Q39" s="15" t="s">
        <v>1438</v>
      </c>
      <c r="R39" s="15" t="s">
        <v>1438</v>
      </c>
      <c r="S39" s="15" t="s">
        <v>1438</v>
      </c>
      <c r="T39" s="15" t="s">
        <v>1438</v>
      </c>
      <c r="U39" s="15" t="s">
        <v>1438</v>
      </c>
      <c r="V39" s="15" t="n">
        <f aca="false">COUNTIF(I39:U39,"Pass")</f>
        <v>13</v>
      </c>
    </row>
    <row r="40" customFormat="false" ht="15" hidden="false" customHeight="false" outlineLevel="0" collapsed="false">
      <c r="A40" s="15" t="n">
        <v>39</v>
      </c>
      <c r="B40" s="15" t="s">
        <v>874</v>
      </c>
      <c r="C40" s="15" t="s">
        <v>873</v>
      </c>
      <c r="D40" s="15" t="s">
        <v>248</v>
      </c>
      <c r="E40" s="15" t="s">
        <v>876</v>
      </c>
      <c r="F40" s="15" t="n">
        <v>2380</v>
      </c>
      <c r="G40" s="15" t="n">
        <v>2000</v>
      </c>
      <c r="H40" s="15" t="str">
        <f aca="false">IF(COUNTIF(I40:U40,"Fail")=0,"PASS","FAIL")</f>
        <v>PASS</v>
      </c>
      <c r="I40" s="15" t="s">
        <v>1438</v>
      </c>
      <c r="J40" s="15" t="s">
        <v>1438</v>
      </c>
      <c r="K40" s="15" t="s">
        <v>1438</v>
      </c>
      <c r="L40" s="15" t="s">
        <v>1438</v>
      </c>
      <c r="M40" s="15" t="s">
        <v>1438</v>
      </c>
      <c r="N40" s="15" t="s">
        <v>1438</v>
      </c>
      <c r="O40" s="15" t="s">
        <v>1438</v>
      </c>
      <c r="P40" s="15" t="s">
        <v>1438</v>
      </c>
      <c r="Q40" s="15" t="s">
        <v>1438</v>
      </c>
      <c r="R40" s="15" t="s">
        <v>1438</v>
      </c>
      <c r="S40" s="15" t="s">
        <v>1438</v>
      </c>
      <c r="T40" s="15" t="s">
        <v>1438</v>
      </c>
      <c r="U40" s="15" t="s">
        <v>1438</v>
      </c>
      <c r="V40" s="15" t="n">
        <f aca="false">COUNTIF(I40:U40,"Pass")</f>
        <v>13</v>
      </c>
    </row>
    <row r="41" customFormat="false" ht="23.85" hidden="false" customHeight="false" outlineLevel="0" collapsed="false">
      <c r="A41" s="15" t="n">
        <v>40</v>
      </c>
      <c r="B41" s="15" t="s">
        <v>361</v>
      </c>
      <c r="C41" s="15" t="s">
        <v>359</v>
      </c>
      <c r="D41" s="15" t="s">
        <v>360</v>
      </c>
      <c r="E41" s="15" t="s">
        <v>363</v>
      </c>
      <c r="F41" s="15" t="n">
        <v>1669</v>
      </c>
      <c r="G41" s="15" t="n">
        <v>1600</v>
      </c>
      <c r="H41" s="15" t="str">
        <f aca="false">IF(COUNTIF(I41:U41,"Fail")=0,"PASS","FAIL")</f>
        <v>PASS</v>
      </c>
      <c r="I41" s="15" t="s">
        <v>1438</v>
      </c>
      <c r="J41" s="15" t="s">
        <v>1438</v>
      </c>
      <c r="K41" s="15" t="s">
        <v>1438</v>
      </c>
      <c r="L41" s="15" t="s">
        <v>1438</v>
      </c>
      <c r="M41" s="15" t="s">
        <v>1438</v>
      </c>
      <c r="N41" s="15" t="s">
        <v>1438</v>
      </c>
      <c r="O41" s="15" t="s">
        <v>1438</v>
      </c>
      <c r="P41" s="15" t="s">
        <v>1438</v>
      </c>
      <c r="Q41" s="15" t="s">
        <v>1438</v>
      </c>
      <c r="R41" s="15" t="s">
        <v>1438</v>
      </c>
      <c r="S41" s="15" t="s">
        <v>1438</v>
      </c>
      <c r="T41" s="15" t="s">
        <v>1438</v>
      </c>
      <c r="U41" s="15" t="s">
        <v>1438</v>
      </c>
      <c r="V41" s="15" t="n">
        <f aca="false">COUNTIF(I41:U41,"Pass")</f>
        <v>13</v>
      </c>
    </row>
    <row r="42" customFormat="false" ht="15" hidden="false" customHeight="false" outlineLevel="0" collapsed="false">
      <c r="A42" s="15" t="n">
        <v>41</v>
      </c>
      <c r="B42" s="15" t="s">
        <v>211</v>
      </c>
      <c r="C42" s="15" t="s">
        <v>206</v>
      </c>
      <c r="D42" s="15" t="s">
        <v>127</v>
      </c>
      <c r="E42" s="15" t="s">
        <v>212</v>
      </c>
      <c r="F42" s="15" t="n">
        <v>2321</v>
      </c>
      <c r="G42" s="15" t="n">
        <v>2400</v>
      </c>
      <c r="H42" s="15" t="str">
        <f aca="false">IF(COUNTIF(I42:U42,"Fail")=0,"PASS","FAIL")</f>
        <v>PASS</v>
      </c>
      <c r="I42" s="15" t="s">
        <v>1438</v>
      </c>
      <c r="J42" s="15" t="s">
        <v>1438</v>
      </c>
      <c r="K42" s="15" t="s">
        <v>1438</v>
      </c>
      <c r="L42" s="15" t="s">
        <v>1438</v>
      </c>
      <c r="M42" s="15" t="s">
        <v>1438</v>
      </c>
      <c r="N42" s="15" t="s">
        <v>1438</v>
      </c>
      <c r="O42" s="15" t="s">
        <v>1438</v>
      </c>
      <c r="P42" s="15" t="s">
        <v>1438</v>
      </c>
      <c r="Q42" s="15" t="s">
        <v>1438</v>
      </c>
      <c r="R42" s="15" t="s">
        <v>1438</v>
      </c>
      <c r="S42" s="15" t="s">
        <v>1438</v>
      </c>
      <c r="T42" s="15" t="s">
        <v>1438</v>
      </c>
      <c r="U42" s="15" t="s">
        <v>1438</v>
      </c>
      <c r="V42" s="15" t="n">
        <f aca="false">COUNTIF(I42:U42,"Pass")</f>
        <v>13</v>
      </c>
    </row>
    <row r="43" customFormat="false" ht="15" hidden="false" customHeight="false" outlineLevel="0" collapsed="false">
      <c r="A43" s="15" t="n">
        <v>42</v>
      </c>
      <c r="B43" s="15" t="s">
        <v>751</v>
      </c>
      <c r="C43" s="15" t="s">
        <v>748</v>
      </c>
      <c r="D43" s="15" t="s">
        <v>127</v>
      </c>
      <c r="E43" s="15" t="s">
        <v>752</v>
      </c>
      <c r="F43" s="15" t="n">
        <v>2745</v>
      </c>
      <c r="G43" s="15" t="n">
        <v>3000</v>
      </c>
      <c r="H43" s="15" t="str">
        <f aca="false">IF(COUNTIF(I43:U43,"Fail")=0,"PASS","FAIL")</f>
        <v>PASS</v>
      </c>
      <c r="I43" s="15" t="s">
        <v>1438</v>
      </c>
      <c r="J43" s="15" t="s">
        <v>1438</v>
      </c>
      <c r="K43" s="15" t="s">
        <v>1438</v>
      </c>
      <c r="L43" s="15" t="s">
        <v>1438</v>
      </c>
      <c r="M43" s="15" t="s">
        <v>1438</v>
      </c>
      <c r="N43" s="15" t="s">
        <v>1438</v>
      </c>
      <c r="O43" s="15" t="s">
        <v>1438</v>
      </c>
      <c r="P43" s="15" t="s">
        <v>1438</v>
      </c>
      <c r="Q43" s="15" t="s">
        <v>1438</v>
      </c>
      <c r="R43" s="15" t="s">
        <v>1438</v>
      </c>
      <c r="S43" s="15" t="s">
        <v>1438</v>
      </c>
      <c r="T43" s="15" t="s">
        <v>1438</v>
      </c>
      <c r="U43" s="15" t="s">
        <v>1438</v>
      </c>
      <c r="V43" s="15" t="n">
        <f aca="false">COUNTIF(I43:U43,"Pass")</f>
        <v>13</v>
      </c>
    </row>
    <row r="44" customFormat="false" ht="15" hidden="false" customHeight="false" outlineLevel="0" collapsed="false">
      <c r="A44" s="15" t="n">
        <v>43</v>
      </c>
      <c r="B44" s="15" t="s">
        <v>231</v>
      </c>
      <c r="C44" s="15" t="s">
        <v>228</v>
      </c>
      <c r="D44" s="15" t="s">
        <v>127</v>
      </c>
      <c r="E44" s="15" t="s">
        <v>232</v>
      </c>
      <c r="F44" s="15" t="n">
        <v>1547</v>
      </c>
      <c r="G44" s="15" t="n">
        <v>1600</v>
      </c>
      <c r="H44" s="15" t="str">
        <f aca="false">IF(COUNTIF(I44:U44,"Fail")=0,"PASS","FAIL")</f>
        <v>PASS</v>
      </c>
      <c r="I44" s="15" t="s">
        <v>1438</v>
      </c>
      <c r="J44" s="15" t="s">
        <v>1438</v>
      </c>
      <c r="K44" s="15" t="s">
        <v>1438</v>
      </c>
      <c r="L44" s="15" t="s">
        <v>1438</v>
      </c>
      <c r="M44" s="15" t="s">
        <v>1438</v>
      </c>
      <c r="N44" s="15" t="s">
        <v>1438</v>
      </c>
      <c r="O44" s="15" t="s">
        <v>1438</v>
      </c>
      <c r="P44" s="15" t="s">
        <v>1438</v>
      </c>
      <c r="Q44" s="15" t="s">
        <v>1438</v>
      </c>
      <c r="R44" s="15" t="s">
        <v>1438</v>
      </c>
      <c r="S44" s="15" t="s">
        <v>1438</v>
      </c>
      <c r="T44" s="15" t="s">
        <v>1438</v>
      </c>
      <c r="U44" s="15" t="s">
        <v>1438</v>
      </c>
      <c r="V44" s="15" t="n">
        <f aca="false">COUNTIF(I44:U44,"Pass")</f>
        <v>13</v>
      </c>
    </row>
    <row r="45" customFormat="false" ht="23.85" hidden="false" customHeight="false" outlineLevel="0" collapsed="false">
      <c r="A45" s="15" t="n">
        <v>44</v>
      </c>
      <c r="B45" s="15" t="s">
        <v>462</v>
      </c>
      <c r="C45" s="15" t="s">
        <v>459</v>
      </c>
      <c r="D45" s="15" t="s">
        <v>127</v>
      </c>
      <c r="E45" s="15" t="s">
        <v>463</v>
      </c>
      <c r="F45" s="15" t="n">
        <v>2150</v>
      </c>
      <c r="G45" s="15" t="n">
        <v>2400</v>
      </c>
      <c r="H45" s="15" t="str">
        <f aca="false">IF(COUNTIF(I45:U45,"Fail")=0,"PASS","FAIL")</f>
        <v>PASS</v>
      </c>
      <c r="I45" s="15" t="s">
        <v>1438</v>
      </c>
      <c r="J45" s="15" t="s">
        <v>1438</v>
      </c>
      <c r="K45" s="15" t="s">
        <v>1438</v>
      </c>
      <c r="L45" s="15" t="s">
        <v>1438</v>
      </c>
      <c r="M45" s="15" t="s">
        <v>1438</v>
      </c>
      <c r="N45" s="15" t="s">
        <v>1438</v>
      </c>
      <c r="O45" s="15" t="s">
        <v>1438</v>
      </c>
      <c r="P45" s="15" t="s">
        <v>1438</v>
      </c>
      <c r="Q45" s="15" t="s">
        <v>1438</v>
      </c>
      <c r="R45" s="15" t="s">
        <v>1438</v>
      </c>
      <c r="S45" s="15" t="s">
        <v>1438</v>
      </c>
      <c r="T45" s="15" t="s">
        <v>1438</v>
      </c>
      <c r="U45" s="15" t="s">
        <v>1438</v>
      </c>
      <c r="V45" s="15" t="n">
        <f aca="false">COUNTIF(I45:U45,"Pass")</f>
        <v>13</v>
      </c>
    </row>
    <row r="46" customFormat="false" ht="23.85" hidden="false" customHeight="false" outlineLevel="0" collapsed="false">
      <c r="A46" s="15" t="n">
        <v>45</v>
      </c>
      <c r="B46" s="15" t="s">
        <v>240</v>
      </c>
      <c r="C46" s="15" t="s">
        <v>237</v>
      </c>
      <c r="D46" s="15" t="s">
        <v>127</v>
      </c>
      <c r="E46" s="15" t="s">
        <v>241</v>
      </c>
      <c r="F46" s="15" t="n">
        <v>2548</v>
      </c>
      <c r="G46" s="15" t="n">
        <v>2800</v>
      </c>
      <c r="H46" s="15" t="str">
        <f aca="false">IF(COUNTIF(I46:U46,"Fail")=0,"PASS","FAIL")</f>
        <v>PASS</v>
      </c>
      <c r="I46" s="15" t="s">
        <v>1438</v>
      </c>
      <c r="J46" s="15" t="s">
        <v>1438</v>
      </c>
      <c r="K46" s="15" t="s">
        <v>1438</v>
      </c>
      <c r="L46" s="15" t="s">
        <v>1438</v>
      </c>
      <c r="M46" s="15" t="s">
        <v>1438</v>
      </c>
      <c r="N46" s="15" t="s">
        <v>1438</v>
      </c>
      <c r="O46" s="15" t="s">
        <v>1438</v>
      </c>
      <c r="P46" s="15" t="s">
        <v>1438</v>
      </c>
      <c r="Q46" s="15" t="s">
        <v>1438</v>
      </c>
      <c r="R46" s="15" t="s">
        <v>1438</v>
      </c>
      <c r="S46" s="15" t="s">
        <v>1438</v>
      </c>
      <c r="T46" s="15" t="s">
        <v>1438</v>
      </c>
      <c r="U46" s="15" t="s">
        <v>1438</v>
      </c>
      <c r="V46" s="15" t="n">
        <f aca="false">COUNTIF(I46:U46,"Pass")</f>
        <v>13</v>
      </c>
    </row>
    <row r="47" customFormat="false" ht="23.85" hidden="false" customHeight="false" outlineLevel="0" collapsed="false">
      <c r="A47" s="15" t="n">
        <v>46</v>
      </c>
      <c r="B47" s="15" t="s">
        <v>543</v>
      </c>
      <c r="C47" s="15" t="s">
        <v>540</v>
      </c>
      <c r="D47" s="15" t="s">
        <v>127</v>
      </c>
      <c r="E47" s="15" t="s">
        <v>544</v>
      </c>
      <c r="F47" s="15" t="n">
        <v>2750</v>
      </c>
      <c r="G47" s="15" t="n">
        <v>3200</v>
      </c>
      <c r="H47" s="15" t="str">
        <f aca="false">IF(COUNTIF(I47:U47,"Fail")=0,"PASS","FAIL")</f>
        <v>PASS</v>
      </c>
      <c r="I47" s="15" t="s">
        <v>1438</v>
      </c>
      <c r="J47" s="15" t="s">
        <v>1438</v>
      </c>
      <c r="K47" s="15" t="s">
        <v>1438</v>
      </c>
      <c r="L47" s="15" t="s">
        <v>1438</v>
      </c>
      <c r="M47" s="15" t="s">
        <v>1438</v>
      </c>
      <c r="N47" s="15" t="s">
        <v>1438</v>
      </c>
      <c r="O47" s="15" t="s">
        <v>1438</v>
      </c>
      <c r="P47" s="15" t="s">
        <v>1438</v>
      </c>
      <c r="Q47" s="15" t="s">
        <v>1438</v>
      </c>
      <c r="R47" s="15" t="s">
        <v>1438</v>
      </c>
      <c r="S47" s="15" t="s">
        <v>1438</v>
      </c>
      <c r="T47" s="15" t="s">
        <v>1438</v>
      </c>
      <c r="U47" s="15" t="s">
        <v>1438</v>
      </c>
      <c r="V47" s="15" t="n">
        <f aca="false">COUNTIF(I47:U47,"Pass")</f>
        <v>13</v>
      </c>
    </row>
    <row r="48" customFormat="false" ht="15" hidden="false" customHeight="false" outlineLevel="0" collapsed="false">
      <c r="A48" s="15" t="n">
        <v>47</v>
      </c>
      <c r="B48" s="15" t="s">
        <v>813</v>
      </c>
      <c r="C48" s="15" t="s">
        <v>810</v>
      </c>
      <c r="D48" s="15" t="s">
        <v>127</v>
      </c>
      <c r="E48" s="15" t="s">
        <v>814</v>
      </c>
      <c r="F48" s="15" t="n">
        <v>2104</v>
      </c>
      <c r="G48" s="15" t="n">
        <v>2200</v>
      </c>
      <c r="H48" s="15" t="str">
        <f aca="false">IF(COUNTIF(I48:U48,"Fail")=0,"PASS","FAIL")</f>
        <v>PASS</v>
      </c>
      <c r="I48" s="15" t="s">
        <v>1438</v>
      </c>
      <c r="J48" s="15" t="s">
        <v>1438</v>
      </c>
      <c r="K48" s="15" t="s">
        <v>1438</v>
      </c>
      <c r="L48" s="15" t="s">
        <v>1438</v>
      </c>
      <c r="M48" s="15" t="s">
        <v>1438</v>
      </c>
      <c r="N48" s="15" t="s">
        <v>1438</v>
      </c>
      <c r="O48" s="15" t="s">
        <v>1438</v>
      </c>
      <c r="P48" s="15" t="s">
        <v>1438</v>
      </c>
      <c r="Q48" s="15" t="s">
        <v>1438</v>
      </c>
      <c r="R48" s="15" t="s">
        <v>1438</v>
      </c>
      <c r="S48" s="15" t="s">
        <v>1438</v>
      </c>
      <c r="T48" s="15" t="s">
        <v>1438</v>
      </c>
      <c r="U48" s="15" t="s">
        <v>1438</v>
      </c>
      <c r="V48" s="15" t="n">
        <f aca="false">COUNTIF(I48:U48,"Pass")</f>
        <v>13</v>
      </c>
    </row>
    <row r="49" customFormat="false" ht="15" hidden="false" customHeight="false" outlineLevel="0" collapsed="false">
      <c r="A49" s="15" t="n">
        <v>48</v>
      </c>
      <c r="B49" s="15" t="s">
        <v>307</v>
      </c>
      <c r="C49" s="15" t="s">
        <v>304</v>
      </c>
      <c r="D49" s="15" t="s">
        <v>127</v>
      </c>
      <c r="E49" s="15" t="s">
        <v>308</v>
      </c>
      <c r="F49" s="15" t="n">
        <v>2524</v>
      </c>
      <c r="G49" s="15" t="n">
        <v>1800</v>
      </c>
      <c r="H49" s="15" t="str">
        <f aca="false">IF(COUNTIF(I49:U49,"Fail")=0,"PASS","FAIL")</f>
        <v>PASS</v>
      </c>
      <c r="I49" s="15" t="s">
        <v>1438</v>
      </c>
      <c r="J49" s="15" t="s">
        <v>1438</v>
      </c>
      <c r="K49" s="15" t="s">
        <v>1438</v>
      </c>
      <c r="L49" s="15" t="s">
        <v>1438</v>
      </c>
      <c r="M49" s="15" t="s">
        <v>1438</v>
      </c>
      <c r="N49" s="15" t="s">
        <v>1438</v>
      </c>
      <c r="O49" s="15" t="s">
        <v>1438</v>
      </c>
      <c r="P49" s="15" t="s">
        <v>1438</v>
      </c>
      <c r="Q49" s="15" t="s">
        <v>1438</v>
      </c>
      <c r="R49" s="15" t="s">
        <v>1438</v>
      </c>
      <c r="S49" s="15" t="s">
        <v>1438</v>
      </c>
      <c r="T49" s="15" t="s">
        <v>1438</v>
      </c>
      <c r="U49" s="15" t="s">
        <v>1438</v>
      </c>
      <c r="V49" s="15" t="n">
        <f aca="false">COUNTIF(I49:U49,"Pass")</f>
        <v>13</v>
      </c>
    </row>
    <row r="50" customFormat="false" ht="23.85" hidden="false" customHeight="false" outlineLevel="0" collapsed="false">
      <c r="A50" s="15" t="n">
        <v>49</v>
      </c>
      <c r="B50" s="15" t="s">
        <v>453</v>
      </c>
      <c r="C50" s="15" t="s">
        <v>450</v>
      </c>
      <c r="D50" s="15" t="s">
        <v>127</v>
      </c>
      <c r="E50" s="15" t="s">
        <v>454</v>
      </c>
      <c r="F50" s="15" t="n">
        <v>2691</v>
      </c>
      <c r="G50" s="15" t="n">
        <v>2400</v>
      </c>
      <c r="H50" s="15" t="str">
        <f aca="false">IF(COUNTIF(I50:U50,"Fail")=0,"PASS","FAIL")</f>
        <v>PASS</v>
      </c>
      <c r="I50" s="15" t="s">
        <v>1438</v>
      </c>
      <c r="J50" s="15" t="s">
        <v>1438</v>
      </c>
      <c r="K50" s="15" t="s">
        <v>1438</v>
      </c>
      <c r="L50" s="15" t="s">
        <v>1438</v>
      </c>
      <c r="M50" s="15" t="s">
        <v>1438</v>
      </c>
      <c r="N50" s="15" t="s">
        <v>1438</v>
      </c>
      <c r="O50" s="15" t="s">
        <v>1438</v>
      </c>
      <c r="P50" s="15" t="s">
        <v>1438</v>
      </c>
      <c r="Q50" s="15" t="s">
        <v>1438</v>
      </c>
      <c r="R50" s="15" t="s">
        <v>1438</v>
      </c>
      <c r="S50" s="15" t="s">
        <v>1438</v>
      </c>
      <c r="T50" s="15" t="s">
        <v>1438</v>
      </c>
      <c r="U50" s="15" t="s">
        <v>1438</v>
      </c>
      <c r="V50" s="15" t="n">
        <f aca="false">COUNTIF(I50:U50,"Pass")</f>
        <v>13</v>
      </c>
    </row>
    <row r="51" customFormat="false" ht="15" hidden="false" customHeight="false" outlineLevel="0" collapsed="false">
      <c r="A51" s="15" t="n">
        <v>50</v>
      </c>
      <c r="B51" s="15" t="s">
        <v>831</v>
      </c>
      <c r="C51" s="15" t="s">
        <v>828</v>
      </c>
      <c r="D51" s="15" t="s">
        <v>248</v>
      </c>
      <c r="E51" s="15" t="s">
        <v>832</v>
      </c>
      <c r="F51" s="15" t="n">
        <v>2258</v>
      </c>
      <c r="G51" s="15" t="n">
        <v>1800</v>
      </c>
      <c r="H51" s="15" t="str">
        <f aca="false">IF(COUNTIF(I51:U51,"Fail")=0,"PASS","FAIL")</f>
        <v>PASS</v>
      </c>
      <c r="I51" s="15" t="s">
        <v>1438</v>
      </c>
      <c r="J51" s="15" t="s">
        <v>1438</v>
      </c>
      <c r="K51" s="15" t="s">
        <v>1438</v>
      </c>
      <c r="L51" s="15" t="s">
        <v>1438</v>
      </c>
      <c r="M51" s="15" t="s">
        <v>1438</v>
      </c>
      <c r="N51" s="15" t="s">
        <v>1438</v>
      </c>
      <c r="O51" s="15" t="s">
        <v>1438</v>
      </c>
      <c r="P51" s="15" t="s">
        <v>1438</v>
      </c>
      <c r="Q51" s="15" t="s">
        <v>1438</v>
      </c>
      <c r="R51" s="15" t="s">
        <v>1438</v>
      </c>
      <c r="S51" s="15" t="s">
        <v>1438</v>
      </c>
      <c r="T51" s="15" t="s">
        <v>1438</v>
      </c>
      <c r="U51" s="15" t="s">
        <v>1438</v>
      </c>
      <c r="V51" s="15" t="n">
        <f aca="false">COUNTIF(I51:U51,"Pass")</f>
        <v>13</v>
      </c>
    </row>
    <row r="52" customFormat="false" ht="23.85" hidden="false" customHeight="false" outlineLevel="0" collapsed="false">
      <c r="A52" s="15" t="n">
        <v>51</v>
      </c>
      <c r="B52" s="15" t="s">
        <v>222</v>
      </c>
      <c r="C52" s="15" t="s">
        <v>217</v>
      </c>
      <c r="D52" s="15" t="s">
        <v>127</v>
      </c>
      <c r="E52" s="15" t="s">
        <v>223</v>
      </c>
      <c r="F52" s="15" t="n">
        <v>2188</v>
      </c>
      <c r="G52" s="15" t="n">
        <v>2000</v>
      </c>
      <c r="H52" s="15" t="str">
        <f aca="false">IF(COUNTIF(I52:U52,"Fail")=0,"PASS","FAIL")</f>
        <v>PASS</v>
      </c>
      <c r="I52" s="15" t="s">
        <v>1438</v>
      </c>
      <c r="J52" s="15" t="s">
        <v>1438</v>
      </c>
      <c r="K52" s="15" t="s">
        <v>1438</v>
      </c>
      <c r="L52" s="15" t="s">
        <v>1438</v>
      </c>
      <c r="M52" s="15" t="s">
        <v>1438</v>
      </c>
      <c r="N52" s="15" t="s">
        <v>1438</v>
      </c>
      <c r="O52" s="15" t="s">
        <v>1438</v>
      </c>
      <c r="P52" s="15" t="s">
        <v>1438</v>
      </c>
      <c r="Q52" s="15" t="s">
        <v>1438</v>
      </c>
      <c r="R52" s="15" t="s">
        <v>1438</v>
      </c>
      <c r="S52" s="15" t="s">
        <v>1438</v>
      </c>
      <c r="T52" s="15" t="s">
        <v>1438</v>
      </c>
      <c r="U52" s="15" t="s">
        <v>1438</v>
      </c>
      <c r="V52" s="15" t="n">
        <f aca="false">COUNTIF(I52:U52,"Pass")</f>
        <v>13</v>
      </c>
    </row>
    <row r="53" customFormat="false" ht="23.85" hidden="false" customHeight="false" outlineLevel="0" collapsed="false">
      <c r="A53" s="15" t="n">
        <v>52</v>
      </c>
      <c r="B53" s="15" t="s">
        <v>682</v>
      </c>
      <c r="C53" s="15" t="s">
        <v>679</v>
      </c>
      <c r="D53" s="15" t="s">
        <v>248</v>
      </c>
      <c r="E53" s="15" t="s">
        <v>683</v>
      </c>
      <c r="F53" s="15" t="n">
        <v>2290</v>
      </c>
      <c r="G53" s="15" t="n">
        <v>2000</v>
      </c>
      <c r="H53" s="15" t="str">
        <f aca="false">IF(COUNTIF(I53:U53,"Fail")=0,"PASS","FAIL")</f>
        <v>PASS</v>
      </c>
      <c r="I53" s="15" t="s">
        <v>1438</v>
      </c>
      <c r="J53" s="15" t="s">
        <v>1438</v>
      </c>
      <c r="K53" s="15" t="s">
        <v>1438</v>
      </c>
      <c r="L53" s="15" t="s">
        <v>1438</v>
      </c>
      <c r="M53" s="15" t="s">
        <v>1438</v>
      </c>
      <c r="N53" s="15" t="s">
        <v>1438</v>
      </c>
      <c r="O53" s="15" t="s">
        <v>1438</v>
      </c>
      <c r="P53" s="15" t="s">
        <v>1438</v>
      </c>
      <c r="Q53" s="15" t="s">
        <v>1438</v>
      </c>
      <c r="R53" s="15" t="s">
        <v>1438</v>
      </c>
      <c r="S53" s="15" t="s">
        <v>1438</v>
      </c>
      <c r="T53" s="15" t="s">
        <v>1438</v>
      </c>
      <c r="U53" s="15" t="s">
        <v>1438</v>
      </c>
      <c r="V53" s="15" t="n">
        <f aca="false">COUNTIF(I53:U53,"Pass")</f>
        <v>13</v>
      </c>
    </row>
    <row r="54" customFormat="false" ht="15" hidden="false" customHeight="false" outlineLevel="0" collapsed="false">
      <c r="A54" s="15" t="n">
        <v>53</v>
      </c>
      <c r="B54" s="15" t="s">
        <v>795</v>
      </c>
      <c r="C54" s="15" t="s">
        <v>792</v>
      </c>
      <c r="D54" s="15" t="s">
        <v>127</v>
      </c>
      <c r="E54" s="15" t="s">
        <v>796</v>
      </c>
      <c r="F54" s="15" t="n">
        <v>2694</v>
      </c>
      <c r="G54" s="15" t="n">
        <v>2600</v>
      </c>
      <c r="H54" s="15" t="str">
        <f aca="false">IF(COUNTIF(I54:U54,"Fail")=0,"PASS","FAIL")</f>
        <v>PASS</v>
      </c>
      <c r="I54" s="15" t="s">
        <v>1438</v>
      </c>
      <c r="J54" s="15" t="s">
        <v>1438</v>
      </c>
      <c r="K54" s="15" t="s">
        <v>1438</v>
      </c>
      <c r="L54" s="15" t="s">
        <v>1438</v>
      </c>
      <c r="M54" s="15" t="s">
        <v>1438</v>
      </c>
      <c r="N54" s="15" t="s">
        <v>1438</v>
      </c>
      <c r="O54" s="15" t="s">
        <v>1438</v>
      </c>
      <c r="P54" s="15" t="s">
        <v>1438</v>
      </c>
      <c r="Q54" s="15" t="s">
        <v>1438</v>
      </c>
      <c r="R54" s="15" t="s">
        <v>1438</v>
      </c>
      <c r="S54" s="15" t="s">
        <v>1438</v>
      </c>
      <c r="T54" s="15" t="s">
        <v>1438</v>
      </c>
      <c r="U54" s="15" t="s">
        <v>1438</v>
      </c>
      <c r="V54" s="15" t="n">
        <f aca="false">COUNTIF(I54:U54,"Pass")</f>
        <v>13</v>
      </c>
    </row>
    <row r="55" customFormat="false" ht="23.85" hidden="false" customHeight="false" outlineLevel="0" collapsed="false">
      <c r="A55" s="15" t="n">
        <v>54</v>
      </c>
      <c r="B55" s="15" t="s">
        <v>435</v>
      </c>
      <c r="C55" s="15" t="s">
        <v>431</v>
      </c>
      <c r="D55" s="15" t="s">
        <v>127</v>
      </c>
      <c r="E55" s="15" t="s">
        <v>436</v>
      </c>
      <c r="F55" s="15" t="n">
        <v>2823</v>
      </c>
      <c r="G55" s="15" t="n">
        <v>2800</v>
      </c>
      <c r="H55" s="15" t="str">
        <f aca="false">IF(COUNTIF(I55:U55,"Fail")=0,"PASS","FAIL")</f>
        <v>PASS</v>
      </c>
      <c r="I55" s="15" t="s">
        <v>1438</v>
      </c>
      <c r="J55" s="15" t="s">
        <v>1438</v>
      </c>
      <c r="K55" s="15" t="s">
        <v>1438</v>
      </c>
      <c r="L55" s="15" t="s">
        <v>1438</v>
      </c>
      <c r="M55" s="15" t="s">
        <v>1438</v>
      </c>
      <c r="N55" s="15" t="s">
        <v>1438</v>
      </c>
      <c r="O55" s="15" t="s">
        <v>1438</v>
      </c>
      <c r="P55" s="15" t="s">
        <v>1438</v>
      </c>
      <c r="Q55" s="15" t="s">
        <v>1438</v>
      </c>
      <c r="R55" s="15" t="s">
        <v>1438</v>
      </c>
      <c r="S55" s="15" t="s">
        <v>1438</v>
      </c>
      <c r="T55" s="15" t="s">
        <v>1438</v>
      </c>
      <c r="U55" s="15" t="s">
        <v>1438</v>
      </c>
      <c r="V55" s="15" t="n">
        <f aca="false">COUNTIF(I55:U55,"Pass")</f>
        <v>13</v>
      </c>
    </row>
    <row r="56" customFormat="false" ht="15" hidden="false" customHeight="false" outlineLevel="0" collapsed="false">
      <c r="A56" s="15" t="n">
        <v>55</v>
      </c>
      <c r="B56" s="15" t="s">
        <v>840</v>
      </c>
      <c r="C56" s="15" t="s">
        <v>837</v>
      </c>
      <c r="D56" s="15" t="s">
        <v>127</v>
      </c>
      <c r="E56" s="15" t="s">
        <v>841</v>
      </c>
      <c r="F56" s="15" t="n">
        <v>2976</v>
      </c>
      <c r="G56" s="15" t="n">
        <v>3000</v>
      </c>
      <c r="H56" s="15" t="str">
        <f aca="false">IF(COUNTIF(I56:U56,"Fail")=0,"PASS","FAIL")</f>
        <v>PASS</v>
      </c>
      <c r="I56" s="15" t="s">
        <v>1438</v>
      </c>
      <c r="J56" s="15" t="s">
        <v>1438</v>
      </c>
      <c r="K56" s="15" t="s">
        <v>1438</v>
      </c>
      <c r="L56" s="15" t="s">
        <v>1438</v>
      </c>
      <c r="M56" s="15" t="s">
        <v>1438</v>
      </c>
      <c r="N56" s="15" t="s">
        <v>1438</v>
      </c>
      <c r="O56" s="15" t="s">
        <v>1438</v>
      </c>
      <c r="P56" s="15" t="s">
        <v>1438</v>
      </c>
      <c r="Q56" s="15" t="s">
        <v>1438</v>
      </c>
      <c r="R56" s="15" t="s">
        <v>1438</v>
      </c>
      <c r="S56" s="15" t="s">
        <v>1438</v>
      </c>
      <c r="T56" s="15" t="s">
        <v>1438</v>
      </c>
      <c r="U56" s="15" t="s">
        <v>1438</v>
      </c>
      <c r="V56" s="15" t="n">
        <f aca="false">COUNTIF(I56:U56,"Pass")</f>
        <v>13</v>
      </c>
    </row>
    <row r="57" customFormat="false" ht="15" hidden="false" customHeight="false" outlineLevel="0" collapsed="false">
      <c r="A57" s="15" t="n">
        <v>56</v>
      </c>
      <c r="B57" s="15" t="s">
        <v>698</v>
      </c>
      <c r="C57" s="15" t="s">
        <v>697</v>
      </c>
      <c r="D57" s="15" t="s">
        <v>127</v>
      </c>
      <c r="E57" s="15" t="s">
        <v>700</v>
      </c>
      <c r="F57" s="15" t="n">
        <v>2551</v>
      </c>
      <c r="G57" s="15" t="n">
        <v>2200</v>
      </c>
      <c r="H57" s="15" t="str">
        <f aca="false">IF(COUNTIF(I57:U57,"Fail")=0,"PASS","FAIL")</f>
        <v>PASS</v>
      </c>
      <c r="I57" s="15" t="s">
        <v>1438</v>
      </c>
      <c r="J57" s="15" t="s">
        <v>1438</v>
      </c>
      <c r="K57" s="15" t="s">
        <v>1438</v>
      </c>
      <c r="L57" s="15" t="s">
        <v>1438</v>
      </c>
      <c r="M57" s="15" t="s">
        <v>1438</v>
      </c>
      <c r="N57" s="15" t="s">
        <v>1438</v>
      </c>
      <c r="O57" s="15" t="s">
        <v>1438</v>
      </c>
      <c r="P57" s="15" t="s">
        <v>1438</v>
      </c>
      <c r="Q57" s="15" t="s">
        <v>1438</v>
      </c>
      <c r="R57" s="15" t="s">
        <v>1438</v>
      </c>
      <c r="S57" s="15" t="s">
        <v>1438</v>
      </c>
      <c r="T57" s="15" t="s">
        <v>1438</v>
      </c>
      <c r="U57" s="15" t="s">
        <v>1438</v>
      </c>
      <c r="V57" s="15" t="n">
        <f aca="false">COUNTIF(I57:U57,"Pass")</f>
        <v>13</v>
      </c>
    </row>
    <row r="58" customFormat="false" ht="23.85" hidden="false" customHeight="false" outlineLevel="0" collapsed="false">
      <c r="A58" s="15" t="n">
        <v>57</v>
      </c>
      <c r="B58" s="15" t="s">
        <v>920</v>
      </c>
      <c r="C58" s="15" t="s">
        <v>917</v>
      </c>
      <c r="D58" s="15" t="s">
        <v>248</v>
      </c>
      <c r="E58" s="15" t="s">
        <v>921</v>
      </c>
      <c r="F58" s="15" t="n">
        <v>2205</v>
      </c>
      <c r="G58" s="15" t="n">
        <v>1800</v>
      </c>
      <c r="H58" s="15" t="str">
        <f aca="false">IF(COUNTIF(I58:U58,"Fail")=0,"PASS","FAIL")</f>
        <v>PASS</v>
      </c>
      <c r="I58" s="15" t="s">
        <v>1438</v>
      </c>
      <c r="J58" s="15" t="s">
        <v>1438</v>
      </c>
      <c r="K58" s="15" t="s">
        <v>1438</v>
      </c>
      <c r="L58" s="15" t="s">
        <v>1438</v>
      </c>
      <c r="M58" s="15" t="s">
        <v>1438</v>
      </c>
      <c r="N58" s="15" t="s">
        <v>1438</v>
      </c>
      <c r="O58" s="15" t="s">
        <v>1438</v>
      </c>
      <c r="P58" s="15" t="s">
        <v>1438</v>
      </c>
      <c r="Q58" s="15" t="s">
        <v>1438</v>
      </c>
      <c r="R58" s="15" t="s">
        <v>1438</v>
      </c>
      <c r="S58" s="15" t="s">
        <v>1438</v>
      </c>
      <c r="T58" s="15" t="s">
        <v>1438</v>
      </c>
      <c r="U58" s="15" t="s">
        <v>1438</v>
      </c>
      <c r="V58" s="15" t="n">
        <f aca="false">COUNTIF(I58:U58,"Pass")</f>
        <v>13</v>
      </c>
    </row>
    <row r="59" customFormat="false" ht="23.85" hidden="false" customHeight="false" outlineLevel="0" collapsed="false">
      <c r="A59" s="15" t="n">
        <v>58</v>
      </c>
      <c r="B59" s="15" t="s">
        <v>444</v>
      </c>
      <c r="C59" s="15" t="s">
        <v>441</v>
      </c>
      <c r="D59" s="15" t="s">
        <v>248</v>
      </c>
      <c r="E59" s="15" t="s">
        <v>445</v>
      </c>
      <c r="F59" s="15" t="n">
        <v>1868</v>
      </c>
      <c r="G59" s="15" t="n">
        <v>1600</v>
      </c>
      <c r="H59" s="15" t="str">
        <f aca="false">IF(COUNTIF(I59:U59,"Fail")=0,"PASS","FAIL")</f>
        <v>PASS</v>
      </c>
      <c r="I59" s="15" t="s">
        <v>1438</v>
      </c>
      <c r="J59" s="15" t="s">
        <v>1438</v>
      </c>
      <c r="K59" s="15" t="s">
        <v>1438</v>
      </c>
      <c r="L59" s="15" t="s">
        <v>1438</v>
      </c>
      <c r="M59" s="15" t="s">
        <v>1438</v>
      </c>
      <c r="N59" s="15" t="s">
        <v>1438</v>
      </c>
      <c r="O59" s="15" t="s">
        <v>1438</v>
      </c>
      <c r="P59" s="15" t="s">
        <v>1438</v>
      </c>
      <c r="Q59" s="15" t="s">
        <v>1438</v>
      </c>
      <c r="R59" s="15" t="s">
        <v>1438</v>
      </c>
      <c r="S59" s="15" t="s">
        <v>1438</v>
      </c>
      <c r="T59" s="15" t="s">
        <v>1438</v>
      </c>
      <c r="U59" s="15" t="s">
        <v>1438</v>
      </c>
      <c r="V59" s="15" t="n">
        <f aca="false">COUNTIF(I59:U59,"Pass")</f>
        <v>13</v>
      </c>
    </row>
    <row r="60" customFormat="false" ht="15" hidden="false" customHeight="false" outlineLevel="0" collapsed="false">
      <c r="A60" s="15" t="n">
        <v>59</v>
      </c>
      <c r="B60" s="15" t="s">
        <v>725</v>
      </c>
      <c r="C60" s="15" t="s">
        <v>722</v>
      </c>
      <c r="D60" s="15" t="s">
        <v>127</v>
      </c>
      <c r="E60" s="15" t="s">
        <v>726</v>
      </c>
      <c r="F60" s="15" t="n">
        <v>3138</v>
      </c>
      <c r="G60" s="15" t="n">
        <v>3000</v>
      </c>
      <c r="H60" s="15" t="str">
        <f aca="false">IF(COUNTIF(I60:U60,"Fail")=0,"PASS","FAIL")</f>
        <v>PASS</v>
      </c>
      <c r="I60" s="15" t="s">
        <v>1438</v>
      </c>
      <c r="J60" s="15" t="s">
        <v>1438</v>
      </c>
      <c r="K60" s="15" t="s">
        <v>1438</v>
      </c>
      <c r="L60" s="15" t="s">
        <v>1438</v>
      </c>
      <c r="M60" s="15" t="s">
        <v>1438</v>
      </c>
      <c r="N60" s="15" t="s">
        <v>1438</v>
      </c>
      <c r="O60" s="15" t="s">
        <v>1438</v>
      </c>
      <c r="P60" s="15" t="s">
        <v>1438</v>
      </c>
      <c r="Q60" s="15" t="s">
        <v>1438</v>
      </c>
      <c r="R60" s="15" t="s">
        <v>1438</v>
      </c>
      <c r="S60" s="15" t="s">
        <v>1438</v>
      </c>
      <c r="T60" s="15" t="s">
        <v>1438</v>
      </c>
      <c r="U60" s="15" t="s">
        <v>1438</v>
      </c>
      <c r="V60" s="15" t="n">
        <f aca="false">COUNTIF(I60:U60,"Pass")</f>
        <v>13</v>
      </c>
    </row>
    <row r="61" customFormat="false" ht="15" hidden="false" customHeight="false" outlineLevel="0" collapsed="false">
      <c r="A61" s="15" t="n">
        <v>60</v>
      </c>
      <c r="B61" s="15" t="s">
        <v>760</v>
      </c>
      <c r="C61" s="15" t="s">
        <v>757</v>
      </c>
      <c r="D61" s="15" t="s">
        <v>127</v>
      </c>
      <c r="E61" s="15" t="s">
        <v>761</v>
      </c>
      <c r="F61" s="15" t="n">
        <v>2940</v>
      </c>
      <c r="G61" s="15" t="n">
        <v>3400</v>
      </c>
      <c r="H61" s="15" t="str">
        <f aca="false">IF(COUNTIF(I61:U61,"Fail")=0,"PASS","FAIL")</f>
        <v>PASS</v>
      </c>
      <c r="I61" s="15" t="s">
        <v>1438</v>
      </c>
      <c r="J61" s="15" t="s">
        <v>1438</v>
      </c>
      <c r="K61" s="15" t="s">
        <v>1438</v>
      </c>
      <c r="L61" s="15" t="s">
        <v>1438</v>
      </c>
      <c r="M61" s="15" t="s">
        <v>1438</v>
      </c>
      <c r="N61" s="15" t="s">
        <v>1438</v>
      </c>
      <c r="O61" s="15" t="s">
        <v>1438</v>
      </c>
      <c r="P61" s="15" t="s">
        <v>1438</v>
      </c>
      <c r="Q61" s="15" t="s">
        <v>1438</v>
      </c>
      <c r="R61" s="15" t="s">
        <v>1438</v>
      </c>
      <c r="S61" s="15" t="s">
        <v>1438</v>
      </c>
      <c r="T61" s="15" t="s">
        <v>1438</v>
      </c>
      <c r="U61" s="15" t="s">
        <v>1438</v>
      </c>
      <c r="V61" s="15" t="n">
        <f aca="false">COUNTIF(I61:U61,"Pass")</f>
        <v>13</v>
      </c>
    </row>
    <row r="62" customFormat="false" ht="23.85" hidden="false" customHeight="false" outlineLevel="0" collapsed="false">
      <c r="A62" s="15" t="n">
        <v>61</v>
      </c>
      <c r="B62" s="15" t="s">
        <v>534</v>
      </c>
      <c r="C62" s="15" t="s">
        <v>531</v>
      </c>
      <c r="D62" s="15" t="s">
        <v>248</v>
      </c>
      <c r="E62" s="15" t="s">
        <v>535</v>
      </c>
      <c r="F62" s="15" t="n">
        <v>1974</v>
      </c>
      <c r="G62" s="15" t="n">
        <v>2000</v>
      </c>
      <c r="H62" s="15" t="str">
        <f aca="false">IF(COUNTIF(I62:U62,"Fail")=0,"PASS","FAIL")</f>
        <v>PASS</v>
      </c>
      <c r="I62" s="15" t="s">
        <v>1438</v>
      </c>
      <c r="J62" s="15" t="s">
        <v>1438</v>
      </c>
      <c r="K62" s="15" t="s">
        <v>1438</v>
      </c>
      <c r="L62" s="15" t="s">
        <v>1438</v>
      </c>
      <c r="M62" s="15" t="s">
        <v>1438</v>
      </c>
      <c r="N62" s="15" t="s">
        <v>1438</v>
      </c>
      <c r="O62" s="15" t="s">
        <v>1438</v>
      </c>
      <c r="P62" s="15" t="s">
        <v>1438</v>
      </c>
      <c r="Q62" s="15" t="s">
        <v>1438</v>
      </c>
      <c r="R62" s="15" t="s">
        <v>1438</v>
      </c>
      <c r="S62" s="15" t="s">
        <v>1438</v>
      </c>
      <c r="T62" s="15" t="s">
        <v>1438</v>
      </c>
      <c r="U62" s="15" t="s">
        <v>1438</v>
      </c>
      <c r="V62" s="15" t="n">
        <f aca="false">COUNTIF(I62:U62,"Pass")</f>
        <v>13</v>
      </c>
    </row>
    <row r="63" customFormat="false" ht="15" hidden="false" customHeight="false" outlineLevel="0" collapsed="false">
      <c r="A63" s="15" t="n">
        <v>62</v>
      </c>
      <c r="B63" s="15" t="s">
        <v>199</v>
      </c>
      <c r="C63" s="15" t="s">
        <v>195</v>
      </c>
      <c r="D63" s="15" t="s">
        <v>127</v>
      </c>
      <c r="E63" s="15" t="s">
        <v>200</v>
      </c>
      <c r="F63" s="15" t="n">
        <v>2352</v>
      </c>
      <c r="G63" s="15" t="n">
        <v>2400</v>
      </c>
      <c r="H63" s="15" t="str">
        <f aca="false">IF(COUNTIF(I63:U63,"Fail")=0,"PASS","FAIL")</f>
        <v>PASS</v>
      </c>
      <c r="I63" s="15" t="s">
        <v>1438</v>
      </c>
      <c r="J63" s="15" t="s">
        <v>1438</v>
      </c>
      <c r="K63" s="15" t="s">
        <v>1438</v>
      </c>
      <c r="L63" s="15" t="s">
        <v>1438</v>
      </c>
      <c r="M63" s="15" t="s">
        <v>1438</v>
      </c>
      <c r="N63" s="15" t="s">
        <v>1438</v>
      </c>
      <c r="O63" s="15" t="s">
        <v>1438</v>
      </c>
      <c r="P63" s="15" t="s">
        <v>1438</v>
      </c>
      <c r="Q63" s="15" t="s">
        <v>1438</v>
      </c>
      <c r="R63" s="15" t="s">
        <v>1438</v>
      </c>
      <c r="S63" s="15" t="s">
        <v>1438</v>
      </c>
      <c r="T63" s="15" t="s">
        <v>1438</v>
      </c>
      <c r="U63" s="15" t="s">
        <v>1438</v>
      </c>
      <c r="V63" s="15" t="n">
        <f aca="false">COUNTIF(I63:U63,"Pass")</f>
        <v>13</v>
      </c>
    </row>
    <row r="64" customFormat="false" ht="23.85" hidden="false" customHeight="false" outlineLevel="0" collapsed="false">
      <c r="A64" s="15" t="n">
        <v>63</v>
      </c>
      <c r="B64" s="15" t="s">
        <v>334</v>
      </c>
      <c r="C64" s="15" t="s">
        <v>331</v>
      </c>
      <c r="D64" s="15" t="s">
        <v>248</v>
      </c>
      <c r="E64" s="15" t="s">
        <v>335</v>
      </c>
      <c r="F64" s="15" t="n">
        <v>2055</v>
      </c>
      <c r="G64" s="15" t="n">
        <v>2200</v>
      </c>
      <c r="H64" s="15" t="str">
        <f aca="false">IF(COUNTIF(I64:U64,"Fail")=0,"PASS","FAIL")</f>
        <v>PASS</v>
      </c>
      <c r="I64" s="15" t="s">
        <v>1438</v>
      </c>
      <c r="J64" s="15" t="s">
        <v>1438</v>
      </c>
      <c r="K64" s="15" t="s">
        <v>1438</v>
      </c>
      <c r="L64" s="15" t="s">
        <v>1438</v>
      </c>
      <c r="M64" s="15" t="s">
        <v>1438</v>
      </c>
      <c r="N64" s="15" t="s">
        <v>1438</v>
      </c>
      <c r="O64" s="15" t="s">
        <v>1438</v>
      </c>
      <c r="P64" s="15" t="s">
        <v>1438</v>
      </c>
      <c r="Q64" s="15" t="s">
        <v>1438</v>
      </c>
      <c r="R64" s="15" t="s">
        <v>1438</v>
      </c>
      <c r="S64" s="15" t="s">
        <v>1438</v>
      </c>
      <c r="T64" s="15" t="s">
        <v>1438</v>
      </c>
      <c r="U64" s="15" t="s">
        <v>1438</v>
      </c>
      <c r="V64" s="15" t="n">
        <f aca="false">COUNTIF(I64:U64,"Pass")</f>
        <v>13</v>
      </c>
    </row>
    <row r="65" customFormat="false" ht="23.85" hidden="false" customHeight="false" outlineLevel="0" collapsed="false">
      <c r="A65" s="15" t="n">
        <v>64</v>
      </c>
      <c r="B65" s="15" t="s">
        <v>911</v>
      </c>
      <c r="C65" s="15" t="s">
        <v>908</v>
      </c>
      <c r="D65" s="15" t="s">
        <v>248</v>
      </c>
      <c r="E65" s="15" t="s">
        <v>912</v>
      </c>
      <c r="F65" s="15" t="n">
        <v>2375</v>
      </c>
      <c r="G65" s="15" t="n">
        <v>2600</v>
      </c>
      <c r="H65" s="15" t="str">
        <f aca="false">IF(COUNTIF(I65:U65,"Fail")=0,"PASS","FAIL")</f>
        <v>PASS</v>
      </c>
      <c r="I65" s="15" t="s">
        <v>1438</v>
      </c>
      <c r="J65" s="15" t="s">
        <v>1438</v>
      </c>
      <c r="K65" s="15" t="s">
        <v>1438</v>
      </c>
      <c r="L65" s="15" t="s">
        <v>1438</v>
      </c>
      <c r="M65" s="15" t="s">
        <v>1438</v>
      </c>
      <c r="N65" s="15" t="s">
        <v>1438</v>
      </c>
      <c r="O65" s="15" t="s">
        <v>1438</v>
      </c>
      <c r="P65" s="15" t="s">
        <v>1438</v>
      </c>
      <c r="Q65" s="15" t="s">
        <v>1438</v>
      </c>
      <c r="R65" s="15" t="s">
        <v>1438</v>
      </c>
      <c r="S65" s="15" t="s">
        <v>1438</v>
      </c>
      <c r="T65" s="15" t="s">
        <v>1438</v>
      </c>
      <c r="U65" s="15" t="s">
        <v>1438</v>
      </c>
      <c r="V65" s="15" t="n">
        <f aca="false">COUNTIF(I65:U65,"Pass")</f>
        <v>13</v>
      </c>
    </row>
    <row r="66" customFormat="false" ht="15" hidden="false" customHeight="false" outlineLevel="0" collapsed="false">
      <c r="A66" s="15" t="n">
        <v>65</v>
      </c>
      <c r="B66" s="15" t="s">
        <v>734</v>
      </c>
      <c r="C66" s="15" t="s">
        <v>731</v>
      </c>
      <c r="D66" s="15" t="s">
        <v>127</v>
      </c>
      <c r="E66" s="15" t="s">
        <v>735</v>
      </c>
      <c r="F66" s="15" t="n">
        <v>2000</v>
      </c>
      <c r="G66" s="15" t="n">
        <v>2000</v>
      </c>
      <c r="H66" s="15" t="str">
        <f aca="false">IF(COUNTIF(I66:U66,"Fail")=0,"PASS","FAIL")</f>
        <v>PASS</v>
      </c>
      <c r="I66" s="15" t="s">
        <v>1438</v>
      </c>
      <c r="J66" s="15" t="s">
        <v>1438</v>
      </c>
      <c r="K66" s="15" t="s">
        <v>1438</v>
      </c>
      <c r="L66" s="15" t="s">
        <v>1438</v>
      </c>
      <c r="M66" s="15" t="s">
        <v>1438</v>
      </c>
      <c r="N66" s="15" t="s">
        <v>1438</v>
      </c>
      <c r="O66" s="15" t="s">
        <v>1438</v>
      </c>
      <c r="P66" s="15" t="s">
        <v>1438</v>
      </c>
      <c r="Q66" s="15" t="s">
        <v>1438</v>
      </c>
      <c r="R66" s="15" t="s">
        <v>1438</v>
      </c>
      <c r="S66" s="15" t="s">
        <v>1438</v>
      </c>
      <c r="T66" s="15" t="s">
        <v>1438</v>
      </c>
      <c r="U66" s="15" t="s">
        <v>1438</v>
      </c>
      <c r="V66" s="15" t="n">
        <f aca="false">COUNTIF(I66:U66,"Pass")</f>
        <v>13</v>
      </c>
    </row>
    <row r="67" customFormat="false" ht="23.85" hidden="false" customHeight="false" outlineLevel="0" collapsed="false">
      <c r="A67" s="15" t="n">
        <v>66</v>
      </c>
      <c r="B67" s="15" t="s">
        <v>716</v>
      </c>
      <c r="C67" s="15" t="s">
        <v>713</v>
      </c>
      <c r="D67" s="15" t="s">
        <v>127</v>
      </c>
      <c r="E67" s="15" t="s">
        <v>717</v>
      </c>
      <c r="F67" s="15" t="n">
        <v>2772</v>
      </c>
      <c r="G67" s="15" t="n">
        <v>2200</v>
      </c>
      <c r="H67" s="15" t="str">
        <f aca="false">IF(COUNTIF(I67:U67,"Fail")=0,"PASS","FAIL")</f>
        <v>PASS</v>
      </c>
      <c r="I67" s="15" t="s">
        <v>1438</v>
      </c>
      <c r="J67" s="15" t="s">
        <v>1438</v>
      </c>
      <c r="K67" s="15" t="s">
        <v>1438</v>
      </c>
      <c r="L67" s="15" t="s">
        <v>1438</v>
      </c>
      <c r="M67" s="15" t="s">
        <v>1438</v>
      </c>
      <c r="N67" s="15" t="s">
        <v>1438</v>
      </c>
      <c r="O67" s="15" t="s">
        <v>1438</v>
      </c>
      <c r="P67" s="15" t="s">
        <v>1438</v>
      </c>
      <c r="Q67" s="15" t="s">
        <v>1438</v>
      </c>
      <c r="R67" s="15" t="s">
        <v>1438</v>
      </c>
      <c r="S67" s="15" t="s">
        <v>1438</v>
      </c>
      <c r="T67" s="15" t="s">
        <v>1438</v>
      </c>
      <c r="U67" s="15" t="s">
        <v>1438</v>
      </c>
      <c r="V67" s="15" t="n">
        <f aca="false">COUNTIF(I67:U67,"Pass")</f>
        <v>13</v>
      </c>
    </row>
    <row r="68" customFormat="false" ht="23.85" hidden="false" customHeight="false" outlineLevel="0" collapsed="false">
      <c r="A68" s="15" t="n">
        <v>67</v>
      </c>
      <c r="B68" s="15" t="s">
        <v>708</v>
      </c>
      <c r="C68" s="15" t="s">
        <v>705</v>
      </c>
      <c r="D68" s="15" t="s">
        <v>248</v>
      </c>
      <c r="E68" s="15" t="s">
        <v>562</v>
      </c>
      <c r="F68" s="15" t="n">
        <v>1997</v>
      </c>
      <c r="G68" s="15" t="n">
        <v>1800</v>
      </c>
      <c r="H68" s="15" t="str">
        <f aca="false">IF(COUNTIF(I68:U68,"Fail")=0,"PASS","FAIL")</f>
        <v>PASS</v>
      </c>
      <c r="I68" s="15" t="s">
        <v>1438</v>
      </c>
      <c r="J68" s="15" t="s">
        <v>1438</v>
      </c>
      <c r="K68" s="15" t="s">
        <v>1438</v>
      </c>
      <c r="L68" s="15" t="s">
        <v>1438</v>
      </c>
      <c r="M68" s="15" t="s">
        <v>1438</v>
      </c>
      <c r="N68" s="15" t="s">
        <v>1438</v>
      </c>
      <c r="O68" s="15" t="s">
        <v>1438</v>
      </c>
      <c r="P68" s="15" t="s">
        <v>1438</v>
      </c>
      <c r="Q68" s="15" t="s">
        <v>1438</v>
      </c>
      <c r="R68" s="15" t="s">
        <v>1438</v>
      </c>
      <c r="S68" s="15" t="s">
        <v>1438</v>
      </c>
      <c r="T68" s="15" t="s">
        <v>1438</v>
      </c>
      <c r="U68" s="15" t="s">
        <v>1438</v>
      </c>
      <c r="V68" s="15" t="n">
        <f aca="false">COUNTIF(I68:U68,"Pass")</f>
        <v>13</v>
      </c>
    </row>
    <row r="69" customFormat="false" ht="15" hidden="false" customHeight="false" outlineLevel="0" collapsed="false">
      <c r="A69" s="15" t="n">
        <v>68</v>
      </c>
      <c r="B69" s="15" t="s">
        <v>641</v>
      </c>
      <c r="C69" s="15" t="s">
        <v>638</v>
      </c>
      <c r="D69" s="15" t="s">
        <v>248</v>
      </c>
      <c r="E69" s="15" t="s">
        <v>633</v>
      </c>
      <c r="F69" s="15" t="n">
        <v>2008</v>
      </c>
      <c r="G69" s="15" t="n">
        <v>1800</v>
      </c>
      <c r="H69" s="15" t="str">
        <f aca="false">IF(COUNTIF(I69:U69,"Fail")=0,"PASS","FAIL")</f>
        <v>PASS</v>
      </c>
      <c r="I69" s="15" t="s">
        <v>1438</v>
      </c>
      <c r="J69" s="15" t="s">
        <v>1438</v>
      </c>
      <c r="K69" s="15" t="s">
        <v>1438</v>
      </c>
      <c r="L69" s="15" t="s">
        <v>1438</v>
      </c>
      <c r="M69" s="15" t="s">
        <v>1438</v>
      </c>
      <c r="N69" s="15" t="s">
        <v>1438</v>
      </c>
      <c r="O69" s="15" t="s">
        <v>1438</v>
      </c>
      <c r="P69" s="15" t="s">
        <v>1438</v>
      </c>
      <c r="Q69" s="15" t="s">
        <v>1438</v>
      </c>
      <c r="R69" s="15" t="s">
        <v>1438</v>
      </c>
      <c r="S69" s="15" t="s">
        <v>1438</v>
      </c>
      <c r="T69" s="15" t="s">
        <v>1438</v>
      </c>
      <c r="U69" s="15" t="s">
        <v>1438</v>
      </c>
      <c r="V69" s="15" t="n">
        <f aca="false">COUNTIF(I69:U69,"Pass")</f>
        <v>13</v>
      </c>
    </row>
    <row r="70" customFormat="false" ht="23.85" hidden="false" customHeight="false" outlineLevel="0" collapsed="false">
      <c r="A70" s="15" t="n">
        <v>69</v>
      </c>
      <c r="B70" s="15" t="s">
        <v>778</v>
      </c>
      <c r="C70" s="15" t="s">
        <v>775</v>
      </c>
      <c r="D70" s="15" t="s">
        <v>127</v>
      </c>
      <c r="E70" s="15" t="s">
        <v>779</v>
      </c>
      <c r="F70" s="15" t="n">
        <v>2710</v>
      </c>
      <c r="G70" s="15" t="n">
        <v>2600</v>
      </c>
      <c r="H70" s="15" t="str">
        <f aca="false">IF(COUNTIF(I70:U70,"Fail")=0,"PASS","FAIL")</f>
        <v>PASS</v>
      </c>
      <c r="I70" s="15" t="s">
        <v>1438</v>
      </c>
      <c r="J70" s="15" t="s">
        <v>1438</v>
      </c>
      <c r="K70" s="15" t="s">
        <v>1438</v>
      </c>
      <c r="L70" s="15" t="s">
        <v>1438</v>
      </c>
      <c r="M70" s="15" t="s">
        <v>1438</v>
      </c>
      <c r="N70" s="15" t="s">
        <v>1438</v>
      </c>
      <c r="O70" s="15" t="s">
        <v>1438</v>
      </c>
      <c r="P70" s="15" t="s">
        <v>1438</v>
      </c>
      <c r="Q70" s="15" t="s">
        <v>1438</v>
      </c>
      <c r="R70" s="15" t="s">
        <v>1438</v>
      </c>
      <c r="S70" s="15" t="s">
        <v>1438</v>
      </c>
      <c r="T70" s="15" t="s">
        <v>1438</v>
      </c>
      <c r="U70" s="15" t="s">
        <v>1438</v>
      </c>
      <c r="V70" s="15" t="n">
        <f aca="false">COUNTIF(I70:U70,"Pass")</f>
        <v>13</v>
      </c>
    </row>
    <row r="71" customFormat="false" ht="23.85" hidden="false" customHeight="false" outlineLevel="0" collapsed="false">
      <c r="A71" s="15" t="n">
        <v>70</v>
      </c>
      <c r="B71" s="15" t="s">
        <v>884</v>
      </c>
      <c r="C71" s="15" t="s">
        <v>881</v>
      </c>
      <c r="D71" s="15" t="s">
        <v>127</v>
      </c>
      <c r="E71" s="15" t="s">
        <v>885</v>
      </c>
      <c r="F71" s="15" t="n">
        <v>2551</v>
      </c>
      <c r="G71" s="15" t="n">
        <v>2600</v>
      </c>
      <c r="H71" s="15" t="str">
        <f aca="false">IF(COUNTIF(I71:U71,"Fail")=0,"PASS","FAIL")</f>
        <v>PASS</v>
      </c>
      <c r="I71" s="15" t="s">
        <v>1438</v>
      </c>
      <c r="J71" s="15" t="s">
        <v>1438</v>
      </c>
      <c r="K71" s="15" t="s">
        <v>1438</v>
      </c>
      <c r="L71" s="15" t="s">
        <v>1438</v>
      </c>
      <c r="M71" s="15" t="s">
        <v>1438</v>
      </c>
      <c r="N71" s="15" t="s">
        <v>1438</v>
      </c>
      <c r="O71" s="15" t="s">
        <v>1438</v>
      </c>
      <c r="P71" s="15" t="s">
        <v>1438</v>
      </c>
      <c r="Q71" s="15" t="s">
        <v>1438</v>
      </c>
      <c r="R71" s="15" t="s">
        <v>1438</v>
      </c>
      <c r="S71" s="15" t="s">
        <v>1438</v>
      </c>
      <c r="T71" s="15" t="s">
        <v>1438</v>
      </c>
      <c r="U71" s="15" t="s">
        <v>1438</v>
      </c>
      <c r="V71" s="15" t="n">
        <f aca="false">COUNTIF(I71:U71,"Pass")</f>
        <v>13</v>
      </c>
    </row>
    <row r="72" customFormat="false" ht="23.85" hidden="false" customHeight="false" outlineLevel="0" collapsed="false">
      <c r="A72" s="15" t="n">
        <v>71</v>
      </c>
      <c r="B72" s="15" t="s">
        <v>822</v>
      </c>
      <c r="C72" s="15" t="s">
        <v>819</v>
      </c>
      <c r="D72" s="15" t="s">
        <v>127</v>
      </c>
      <c r="E72" s="15" t="s">
        <v>823</v>
      </c>
      <c r="F72" s="15" t="n">
        <v>2462</v>
      </c>
      <c r="G72" s="15" t="n">
        <v>2400</v>
      </c>
      <c r="H72" s="15" t="str">
        <f aca="false">IF(COUNTIF(I72:U72,"Fail")=0,"PASS","FAIL")</f>
        <v>PASS</v>
      </c>
      <c r="I72" s="15" t="s">
        <v>1438</v>
      </c>
      <c r="J72" s="15" t="s">
        <v>1438</v>
      </c>
      <c r="K72" s="15" t="s">
        <v>1438</v>
      </c>
      <c r="L72" s="15" t="s">
        <v>1438</v>
      </c>
      <c r="M72" s="15" t="s">
        <v>1438</v>
      </c>
      <c r="N72" s="15" t="s">
        <v>1438</v>
      </c>
      <c r="O72" s="15" t="s">
        <v>1438</v>
      </c>
      <c r="P72" s="15" t="s">
        <v>1438</v>
      </c>
      <c r="Q72" s="15" t="s">
        <v>1438</v>
      </c>
      <c r="R72" s="15" t="s">
        <v>1438</v>
      </c>
      <c r="S72" s="15" t="s">
        <v>1438</v>
      </c>
      <c r="T72" s="15" t="s">
        <v>1438</v>
      </c>
      <c r="U72" s="15" t="s">
        <v>1438</v>
      </c>
      <c r="V72" s="15" t="n">
        <f aca="false">COUNTIF(I72:U72,"Pass")</f>
        <v>13</v>
      </c>
    </row>
    <row r="73" customFormat="false" ht="23.85" hidden="false" customHeight="false" outlineLevel="0" collapsed="false">
      <c r="A73" s="15" t="n">
        <v>72</v>
      </c>
      <c r="B73" s="15" t="s">
        <v>298</v>
      </c>
      <c r="C73" s="15" t="s">
        <v>295</v>
      </c>
      <c r="D73" s="15" t="s">
        <v>248</v>
      </c>
      <c r="E73" s="15" t="s">
        <v>299</v>
      </c>
      <c r="F73" s="15" t="n">
        <v>2130</v>
      </c>
      <c r="G73" s="15" t="n">
        <v>2000</v>
      </c>
      <c r="H73" s="15" t="str">
        <f aca="false">IF(COUNTIF(I73:U73,"Fail")=0,"PASS","FAIL")</f>
        <v>PASS</v>
      </c>
      <c r="I73" s="15" t="s">
        <v>1438</v>
      </c>
      <c r="J73" s="15" t="s">
        <v>1438</v>
      </c>
      <c r="K73" s="15" t="s">
        <v>1438</v>
      </c>
      <c r="L73" s="15" t="s">
        <v>1438</v>
      </c>
      <c r="M73" s="15" t="s">
        <v>1438</v>
      </c>
      <c r="N73" s="15" t="s">
        <v>1438</v>
      </c>
      <c r="O73" s="15" t="s">
        <v>1438</v>
      </c>
      <c r="P73" s="15" t="s">
        <v>1438</v>
      </c>
      <c r="Q73" s="15" t="s">
        <v>1438</v>
      </c>
      <c r="R73" s="15" t="s">
        <v>1438</v>
      </c>
      <c r="S73" s="15" t="s">
        <v>1438</v>
      </c>
      <c r="T73" s="15" t="s">
        <v>1438</v>
      </c>
      <c r="U73" s="15" t="s">
        <v>1438</v>
      </c>
      <c r="V73" s="15" t="n">
        <f aca="false">COUNTIF(I73:U73,"Pass")</f>
        <v>13</v>
      </c>
    </row>
    <row r="74" customFormat="false" ht="23.85" hidden="false" customHeight="false" outlineLevel="0" collapsed="false">
      <c r="A74" s="15" t="n">
        <v>73</v>
      </c>
      <c r="B74" s="15" t="s">
        <v>804</v>
      </c>
      <c r="C74" s="15" t="s">
        <v>801</v>
      </c>
      <c r="D74" s="15" t="s">
        <v>248</v>
      </c>
      <c r="E74" s="15" t="s">
        <v>805</v>
      </c>
      <c r="F74" s="15" t="n">
        <v>1992</v>
      </c>
      <c r="G74" s="15" t="n">
        <v>1800</v>
      </c>
      <c r="H74" s="15" t="str">
        <f aca="false">IF(COUNTIF(I74:U74,"Fail")=0,"PASS","FAIL")</f>
        <v>PASS</v>
      </c>
      <c r="I74" s="15" t="s">
        <v>1438</v>
      </c>
      <c r="J74" s="15" t="s">
        <v>1438</v>
      </c>
      <c r="K74" s="15" t="s">
        <v>1438</v>
      </c>
      <c r="L74" s="15" t="s">
        <v>1438</v>
      </c>
      <c r="M74" s="15" t="s">
        <v>1438</v>
      </c>
      <c r="N74" s="15" t="s">
        <v>1438</v>
      </c>
      <c r="O74" s="15" t="s">
        <v>1438</v>
      </c>
      <c r="P74" s="15" t="s">
        <v>1438</v>
      </c>
      <c r="Q74" s="15" t="s">
        <v>1438</v>
      </c>
      <c r="R74" s="15" t="s">
        <v>1438</v>
      </c>
      <c r="S74" s="15" t="s">
        <v>1438</v>
      </c>
      <c r="T74" s="15" t="s">
        <v>1438</v>
      </c>
      <c r="U74" s="15" t="s">
        <v>1438</v>
      </c>
      <c r="V74" s="15" t="n">
        <f aca="false">COUNTIF(I74:U74,"Pass")</f>
        <v>13</v>
      </c>
    </row>
    <row r="75" customFormat="false" ht="15" hidden="false" customHeight="false" outlineLevel="0" collapsed="false">
      <c r="A75" s="15" t="n">
        <v>74</v>
      </c>
      <c r="B75" s="15" t="s">
        <v>130</v>
      </c>
      <c r="C75" s="15" t="s">
        <v>125</v>
      </c>
      <c r="D75" s="15" t="s">
        <v>127</v>
      </c>
      <c r="E75" s="15" t="s">
        <v>131</v>
      </c>
      <c r="F75" s="15" t="n">
        <v>2467</v>
      </c>
      <c r="G75" s="15" t="n">
        <v>2400</v>
      </c>
      <c r="H75" s="15" t="str">
        <f aca="false">IF(COUNTIF(I75:U75,"Fail")=0,"PASS","FAIL")</f>
        <v>PASS</v>
      </c>
      <c r="I75" s="15" t="s">
        <v>1438</v>
      </c>
      <c r="J75" s="15" t="s">
        <v>1438</v>
      </c>
      <c r="K75" s="15" t="s">
        <v>1438</v>
      </c>
      <c r="L75" s="15" t="s">
        <v>1438</v>
      </c>
      <c r="M75" s="15" t="s">
        <v>1438</v>
      </c>
      <c r="N75" s="15" t="s">
        <v>1438</v>
      </c>
      <c r="O75" s="15" t="s">
        <v>1438</v>
      </c>
      <c r="P75" s="15" t="s">
        <v>1438</v>
      </c>
      <c r="Q75" s="15" t="s">
        <v>1438</v>
      </c>
      <c r="R75" s="15" t="s">
        <v>1438</v>
      </c>
      <c r="S75" s="15" t="s">
        <v>1438</v>
      </c>
      <c r="T75" s="15" t="s">
        <v>1438</v>
      </c>
      <c r="U75" s="15" t="s">
        <v>1438</v>
      </c>
      <c r="V75" s="15" t="n">
        <f aca="false">COUNTIF(I75:U75,"Pass")</f>
        <v>13</v>
      </c>
    </row>
    <row r="76" customFormat="false" ht="23.85" hidden="false" customHeight="false" outlineLevel="0" collapsed="false">
      <c r="A76" s="15" t="n">
        <v>75</v>
      </c>
      <c r="B76" s="15" t="s">
        <v>946</v>
      </c>
      <c r="C76" s="15" t="s">
        <v>943</v>
      </c>
      <c r="D76" s="15" t="s">
        <v>248</v>
      </c>
      <c r="E76" s="15" t="s">
        <v>947</v>
      </c>
      <c r="F76" s="15" t="n">
        <v>1918</v>
      </c>
      <c r="G76" s="15" t="n">
        <v>1600</v>
      </c>
      <c r="H76" s="15" t="str">
        <f aca="false">IF(COUNTIF(I76:U76,"Fail")=0,"PASS","FAIL")</f>
        <v>PASS</v>
      </c>
      <c r="I76" s="15" t="s">
        <v>1438</v>
      </c>
      <c r="J76" s="15" t="s">
        <v>1438</v>
      </c>
      <c r="K76" s="15" t="s">
        <v>1438</v>
      </c>
      <c r="L76" s="15" t="s">
        <v>1438</v>
      </c>
      <c r="M76" s="15" t="s">
        <v>1438</v>
      </c>
      <c r="N76" s="15" t="s">
        <v>1438</v>
      </c>
      <c r="O76" s="15" t="s">
        <v>1438</v>
      </c>
      <c r="P76" s="15" t="s">
        <v>1438</v>
      </c>
      <c r="Q76" s="15" t="s">
        <v>1438</v>
      </c>
      <c r="R76" s="15" t="s">
        <v>1438</v>
      </c>
      <c r="S76" s="15" t="s">
        <v>1438</v>
      </c>
      <c r="T76" s="15" t="s">
        <v>1438</v>
      </c>
      <c r="U76" s="15" t="s">
        <v>1438</v>
      </c>
      <c r="V76" s="15" t="n">
        <f aca="false">COUNTIF(I76:U76,"Pass")</f>
        <v>13</v>
      </c>
    </row>
    <row r="77" customFormat="false" ht="23.85" hidden="false" customHeight="false" outlineLevel="0" collapsed="false">
      <c r="A77" s="15" t="n">
        <v>76</v>
      </c>
      <c r="B77" s="15" t="s">
        <v>416</v>
      </c>
      <c r="C77" s="15" t="s">
        <v>413</v>
      </c>
      <c r="D77" s="15" t="s">
        <v>248</v>
      </c>
      <c r="E77" s="15" t="s">
        <v>417</v>
      </c>
      <c r="F77" s="15" t="n">
        <v>2299</v>
      </c>
      <c r="G77" s="15" t="n">
        <v>2200</v>
      </c>
      <c r="H77" s="15" t="str">
        <f aca="false">IF(COUNTIF(I77:U77,"Fail")=0,"PASS","FAIL")</f>
        <v>PASS</v>
      </c>
      <c r="I77" s="15" t="s">
        <v>1438</v>
      </c>
      <c r="J77" s="15" t="s">
        <v>1438</v>
      </c>
      <c r="K77" s="15" t="s">
        <v>1438</v>
      </c>
      <c r="L77" s="15" t="s">
        <v>1438</v>
      </c>
      <c r="M77" s="15" t="s">
        <v>1438</v>
      </c>
      <c r="N77" s="15" t="s">
        <v>1438</v>
      </c>
      <c r="O77" s="15" t="s">
        <v>1438</v>
      </c>
      <c r="P77" s="15" t="s">
        <v>1438</v>
      </c>
      <c r="Q77" s="15" t="s">
        <v>1438</v>
      </c>
      <c r="R77" s="15" t="s">
        <v>1438</v>
      </c>
      <c r="S77" s="15" t="s">
        <v>1438</v>
      </c>
      <c r="T77" s="15" t="s">
        <v>1438</v>
      </c>
      <c r="U77" s="15" t="s">
        <v>1438</v>
      </c>
      <c r="V77" s="15" t="n">
        <f aca="false">COUNTIF(I77:U77,"Pass")</f>
        <v>13</v>
      </c>
    </row>
    <row r="78" customFormat="false" ht="15" hidden="false" customHeight="false" outlineLevel="0" collapsed="false">
      <c r="A78" s="15" t="n">
        <v>77</v>
      </c>
      <c r="B78" s="15" t="s">
        <v>471</v>
      </c>
      <c r="C78" s="15" t="s">
        <v>468</v>
      </c>
      <c r="D78" s="15" t="s">
        <v>127</v>
      </c>
      <c r="E78" s="15" t="s">
        <v>472</v>
      </c>
      <c r="F78" s="15" t="n">
        <v>1906</v>
      </c>
      <c r="G78" s="15" t="n">
        <v>1600</v>
      </c>
      <c r="H78" s="15" t="str">
        <f aca="false">IF(COUNTIF(I78:U78,"Fail")=0,"PASS","FAIL")</f>
        <v>PASS</v>
      </c>
      <c r="I78" s="15" t="s">
        <v>1438</v>
      </c>
      <c r="J78" s="15" t="s">
        <v>1438</v>
      </c>
      <c r="K78" s="15" t="s">
        <v>1438</v>
      </c>
      <c r="L78" s="15" t="s">
        <v>1438</v>
      </c>
      <c r="M78" s="15" t="s">
        <v>1438</v>
      </c>
      <c r="N78" s="15" t="s">
        <v>1438</v>
      </c>
      <c r="O78" s="15" t="s">
        <v>1438</v>
      </c>
      <c r="P78" s="15" t="s">
        <v>1438</v>
      </c>
      <c r="Q78" s="15" t="s">
        <v>1438</v>
      </c>
      <c r="R78" s="15" t="s">
        <v>1438</v>
      </c>
      <c r="S78" s="15" t="s">
        <v>1438</v>
      </c>
      <c r="T78" s="15" t="s">
        <v>1438</v>
      </c>
      <c r="U78" s="15" t="s">
        <v>1438</v>
      </c>
      <c r="V78" s="15" t="n">
        <f aca="false">COUNTIF(I78:U78,"Pass")</f>
        <v>13</v>
      </c>
    </row>
    <row r="79" customFormat="false" ht="23.85" hidden="false" customHeight="false" outlineLevel="0" collapsed="false">
      <c r="A79" s="15" t="n">
        <v>78</v>
      </c>
      <c r="B79" s="15" t="s">
        <v>955</v>
      </c>
      <c r="C79" s="15" t="s">
        <v>952</v>
      </c>
      <c r="D79" s="15" t="s">
        <v>127</v>
      </c>
      <c r="E79" s="15" t="s">
        <v>956</v>
      </c>
      <c r="F79" s="15" t="n">
        <v>2094</v>
      </c>
      <c r="G79" s="15" t="n">
        <v>2200</v>
      </c>
      <c r="H79" s="15" t="str">
        <f aca="false">IF(COUNTIF(I79:U79,"Fail")=0,"PASS","FAIL")</f>
        <v>PASS</v>
      </c>
      <c r="I79" s="15" t="s">
        <v>1438</v>
      </c>
      <c r="J79" s="15" t="s">
        <v>1438</v>
      </c>
      <c r="K79" s="15" t="s">
        <v>1438</v>
      </c>
      <c r="L79" s="15" t="s">
        <v>1438</v>
      </c>
      <c r="M79" s="15" t="s">
        <v>1438</v>
      </c>
      <c r="N79" s="15" t="s">
        <v>1438</v>
      </c>
      <c r="O79" s="15" t="s">
        <v>1438</v>
      </c>
      <c r="P79" s="15" t="s">
        <v>1438</v>
      </c>
      <c r="Q79" s="15" t="s">
        <v>1438</v>
      </c>
      <c r="R79" s="15" t="s">
        <v>1438</v>
      </c>
      <c r="S79" s="15" t="s">
        <v>1438</v>
      </c>
      <c r="T79" s="15" t="s">
        <v>1438</v>
      </c>
      <c r="U79" s="15" t="s">
        <v>1438</v>
      </c>
      <c r="V79" s="15" t="n">
        <f aca="false">COUNTIF(I79:U79,"Pass")</f>
        <v>13</v>
      </c>
    </row>
    <row r="80" customFormat="false" ht="15" hidden="false" customHeight="false" outlineLevel="0" collapsed="false">
      <c r="A80" s="15" t="n">
        <v>79</v>
      </c>
      <c r="B80" s="15" t="s">
        <v>586</v>
      </c>
      <c r="C80" s="15" t="s">
        <v>585</v>
      </c>
      <c r="D80" s="15" t="s">
        <v>248</v>
      </c>
      <c r="E80" s="15" t="s">
        <v>588</v>
      </c>
      <c r="F80" s="15" t="n">
        <v>1901</v>
      </c>
      <c r="G80" s="15" t="n">
        <v>2000</v>
      </c>
      <c r="H80" s="15" t="str">
        <f aca="false">IF(COUNTIF(I80:U80,"Fail")=0,"PASS","FAIL")</f>
        <v>PASS</v>
      </c>
      <c r="I80" s="15" t="s">
        <v>1438</v>
      </c>
      <c r="J80" s="15" t="s">
        <v>1438</v>
      </c>
      <c r="K80" s="15" t="s">
        <v>1438</v>
      </c>
      <c r="L80" s="15" t="s">
        <v>1438</v>
      </c>
      <c r="M80" s="15" t="s">
        <v>1438</v>
      </c>
      <c r="N80" s="15" t="s">
        <v>1438</v>
      </c>
      <c r="O80" s="15" t="s">
        <v>1438</v>
      </c>
      <c r="P80" s="15" t="s">
        <v>1438</v>
      </c>
      <c r="Q80" s="15" t="s">
        <v>1438</v>
      </c>
      <c r="R80" s="15" t="s">
        <v>1438</v>
      </c>
      <c r="S80" s="15" t="s">
        <v>1438</v>
      </c>
      <c r="T80" s="15" t="s">
        <v>1438</v>
      </c>
      <c r="U80" s="15" t="s">
        <v>1438</v>
      </c>
      <c r="V80" s="15" t="n">
        <f aca="false">COUNTIF(I80:U80,"Pass")</f>
        <v>13</v>
      </c>
    </row>
    <row r="81" customFormat="false" ht="23.85" hidden="false" customHeight="false" outlineLevel="0" collapsed="false">
      <c r="A81" s="15" t="n">
        <v>80</v>
      </c>
      <c r="B81" s="15" t="s">
        <v>902</v>
      </c>
      <c r="C81" s="15" t="s">
        <v>899</v>
      </c>
      <c r="D81" s="15" t="s">
        <v>248</v>
      </c>
      <c r="E81" s="15" t="s">
        <v>903</v>
      </c>
      <c r="F81" s="15" t="n">
        <v>1657</v>
      </c>
      <c r="G81" s="15" t="n">
        <v>1600</v>
      </c>
      <c r="H81" s="15" t="str">
        <f aca="false">IF(COUNTIF(I81:U81,"Fail")=0,"PASS","FAIL")</f>
        <v>PASS</v>
      </c>
      <c r="I81" s="15" t="s">
        <v>1438</v>
      </c>
      <c r="J81" s="15" t="s">
        <v>1438</v>
      </c>
      <c r="K81" s="15" t="s">
        <v>1438</v>
      </c>
      <c r="L81" s="15" t="s">
        <v>1438</v>
      </c>
      <c r="M81" s="15" t="s">
        <v>1438</v>
      </c>
      <c r="N81" s="15" t="s">
        <v>1438</v>
      </c>
      <c r="O81" s="15" t="s">
        <v>1438</v>
      </c>
      <c r="P81" s="15" t="s">
        <v>1438</v>
      </c>
      <c r="Q81" s="15" t="s">
        <v>1438</v>
      </c>
      <c r="R81" s="15" t="s">
        <v>1438</v>
      </c>
      <c r="S81" s="15" t="s">
        <v>1438</v>
      </c>
      <c r="T81" s="15" t="s">
        <v>1438</v>
      </c>
      <c r="U81" s="15" t="s">
        <v>1438</v>
      </c>
      <c r="V81" s="15" t="n">
        <f aca="false">COUNTIF(I81:U81,"Pass")</f>
        <v>13</v>
      </c>
    </row>
    <row r="82" customFormat="false" ht="23.85" hidden="false" customHeight="false" outlineLevel="0" collapsed="false">
      <c r="A82" s="15" t="n">
        <v>81</v>
      </c>
      <c r="B82" s="15" t="s">
        <v>849</v>
      </c>
      <c r="C82" s="15" t="s">
        <v>846</v>
      </c>
      <c r="D82" s="15" t="s">
        <v>127</v>
      </c>
      <c r="E82" s="15" t="s">
        <v>850</v>
      </c>
      <c r="F82" s="15" t="n">
        <v>1812</v>
      </c>
      <c r="G82" s="15" t="n">
        <v>2000</v>
      </c>
      <c r="H82" s="15" t="str">
        <f aca="false">IF(COUNTIF(I82:U82,"Fail")=0,"PASS","FAIL")</f>
        <v>PASS</v>
      </c>
      <c r="I82" s="15" t="s">
        <v>1438</v>
      </c>
      <c r="J82" s="15" t="s">
        <v>1438</v>
      </c>
      <c r="K82" s="15" t="s">
        <v>1438</v>
      </c>
      <c r="L82" s="15" t="s">
        <v>1438</v>
      </c>
      <c r="M82" s="15" t="s">
        <v>1438</v>
      </c>
      <c r="N82" s="15" t="s">
        <v>1438</v>
      </c>
      <c r="O82" s="15" t="s">
        <v>1438</v>
      </c>
      <c r="P82" s="15" t="s">
        <v>1438</v>
      </c>
      <c r="Q82" s="15" t="s">
        <v>1438</v>
      </c>
      <c r="R82" s="15" t="s">
        <v>1438</v>
      </c>
      <c r="S82" s="15" t="s">
        <v>1438</v>
      </c>
      <c r="T82" s="15" t="s">
        <v>1438</v>
      </c>
      <c r="U82" s="15" t="s">
        <v>1438</v>
      </c>
      <c r="V82" s="15" t="n">
        <f aca="false">COUNTIF(I82:U82,"Pass")</f>
        <v>13</v>
      </c>
    </row>
    <row r="83" customFormat="false" ht="23.85" hidden="false" customHeight="false" outlineLevel="0" collapsed="false">
      <c r="A83" s="15" t="n">
        <v>82</v>
      </c>
      <c r="B83" s="15" t="s">
        <v>623</v>
      </c>
      <c r="C83" s="15" t="s">
        <v>620</v>
      </c>
      <c r="D83" s="15" t="s">
        <v>127</v>
      </c>
      <c r="E83" s="15" t="s">
        <v>624</v>
      </c>
      <c r="F83" s="15" t="n">
        <v>2094</v>
      </c>
      <c r="G83" s="15" t="n">
        <v>2400</v>
      </c>
      <c r="H83" s="15" t="str">
        <f aca="false">IF(COUNTIF(I83:U83,"Fail")=0,"PASS","FAIL")</f>
        <v>PASS</v>
      </c>
      <c r="I83" s="15" t="s">
        <v>1438</v>
      </c>
      <c r="J83" s="15" t="s">
        <v>1438</v>
      </c>
      <c r="K83" s="15" t="s">
        <v>1438</v>
      </c>
      <c r="L83" s="15" t="s">
        <v>1438</v>
      </c>
      <c r="M83" s="15" t="s">
        <v>1438</v>
      </c>
      <c r="N83" s="15" t="s">
        <v>1438</v>
      </c>
      <c r="O83" s="15" t="s">
        <v>1438</v>
      </c>
      <c r="P83" s="15" t="s">
        <v>1438</v>
      </c>
      <c r="Q83" s="15" t="s">
        <v>1438</v>
      </c>
      <c r="R83" s="15" t="s">
        <v>1438</v>
      </c>
      <c r="S83" s="15" t="s">
        <v>1438</v>
      </c>
      <c r="T83" s="15" t="s">
        <v>1438</v>
      </c>
      <c r="U83" s="15" t="s">
        <v>1438</v>
      </c>
      <c r="V83" s="15" t="n">
        <f aca="false">COUNTIF(I83:U83,"Pass")</f>
        <v>13</v>
      </c>
    </row>
    <row r="84" customFormat="false" ht="23.85" hidden="false" customHeight="false" outlineLevel="0" collapsed="false">
      <c r="A84" s="15" t="n">
        <v>83</v>
      </c>
      <c r="B84" s="15" t="s">
        <v>261</v>
      </c>
      <c r="C84" s="15" t="s">
        <v>257</v>
      </c>
      <c r="D84" s="15" t="s">
        <v>127</v>
      </c>
      <c r="E84" s="15" t="s">
        <v>262</v>
      </c>
      <c r="F84" s="15" t="n">
        <v>2078</v>
      </c>
      <c r="G84" s="15" t="n">
        <v>2400</v>
      </c>
      <c r="H84" s="15" t="str">
        <f aca="false">IF(COUNTIF(I84:U84,"Fail")=0,"PASS","FAIL")</f>
        <v>PASS</v>
      </c>
      <c r="I84" s="15" t="s">
        <v>1438</v>
      </c>
      <c r="J84" s="15" t="s">
        <v>1438</v>
      </c>
      <c r="K84" s="15" t="s">
        <v>1438</v>
      </c>
      <c r="L84" s="15" t="s">
        <v>1438</v>
      </c>
      <c r="M84" s="15" t="s">
        <v>1438</v>
      </c>
      <c r="N84" s="15" t="s">
        <v>1438</v>
      </c>
      <c r="O84" s="15" t="s">
        <v>1438</v>
      </c>
      <c r="P84" s="15" t="s">
        <v>1438</v>
      </c>
      <c r="Q84" s="15" t="s">
        <v>1438</v>
      </c>
      <c r="R84" s="15" t="s">
        <v>1438</v>
      </c>
      <c r="S84" s="15" t="s">
        <v>1438</v>
      </c>
      <c r="T84" s="15" t="s">
        <v>1438</v>
      </c>
      <c r="U84" s="15" t="s">
        <v>1438</v>
      </c>
      <c r="V84" s="15" t="n">
        <f aca="false">COUNTIF(I84:U84,"Pass")</f>
        <v>13</v>
      </c>
    </row>
    <row r="85" customFormat="false" ht="23.85" hidden="false" customHeight="false" outlineLevel="0" collapsed="false">
      <c r="A85" s="15" t="n">
        <v>84</v>
      </c>
      <c r="B85" s="15" t="s">
        <v>596</v>
      </c>
      <c r="C85" s="15" t="s">
        <v>593</v>
      </c>
      <c r="D85" s="15" t="s">
        <v>127</v>
      </c>
      <c r="E85" s="15" t="s">
        <v>597</v>
      </c>
      <c r="F85" s="15" t="n">
        <v>2234</v>
      </c>
      <c r="G85" s="15" t="n">
        <v>2400</v>
      </c>
      <c r="H85" s="15" t="str">
        <f aca="false">IF(COUNTIF(I85:U85,"Fail")=0,"PASS","FAIL")</f>
        <v>PASS</v>
      </c>
      <c r="I85" s="15" t="s">
        <v>1438</v>
      </c>
      <c r="J85" s="15" t="s">
        <v>1438</v>
      </c>
      <c r="K85" s="15" t="s">
        <v>1438</v>
      </c>
      <c r="L85" s="15" t="s">
        <v>1438</v>
      </c>
      <c r="M85" s="15" t="s">
        <v>1438</v>
      </c>
      <c r="N85" s="15" t="s">
        <v>1438</v>
      </c>
      <c r="O85" s="15" t="s">
        <v>1438</v>
      </c>
      <c r="P85" s="15" t="s">
        <v>1438</v>
      </c>
      <c r="Q85" s="15" t="s">
        <v>1438</v>
      </c>
      <c r="R85" s="15" t="s">
        <v>1438</v>
      </c>
      <c r="S85" s="15" t="s">
        <v>1438</v>
      </c>
      <c r="T85" s="15" t="s">
        <v>1438</v>
      </c>
      <c r="U85" s="15" t="s">
        <v>1438</v>
      </c>
      <c r="V85" s="15" t="n">
        <f aca="false">COUNTIF(I85:U85,"Pass")</f>
        <v>13</v>
      </c>
    </row>
    <row r="86" customFormat="false" ht="15" hidden="false" customHeight="false" outlineLevel="0" collapsed="false">
      <c r="A86" s="15" t="n">
        <v>85</v>
      </c>
      <c r="B86" s="15" t="s">
        <v>605</v>
      </c>
      <c r="C86" s="15" t="s">
        <v>602</v>
      </c>
      <c r="D86" s="15" t="s">
        <v>127</v>
      </c>
      <c r="E86" s="15" t="s">
        <v>606</v>
      </c>
      <c r="F86" s="15" t="n">
        <v>2352</v>
      </c>
      <c r="G86" s="15" t="n">
        <v>2000</v>
      </c>
      <c r="H86" s="15" t="str">
        <f aca="false">IF(COUNTIF(I86:U86,"Fail")=0,"PASS","FAIL")</f>
        <v>PASS</v>
      </c>
      <c r="I86" s="15" t="s">
        <v>1438</v>
      </c>
      <c r="J86" s="15" t="s">
        <v>1438</v>
      </c>
      <c r="K86" s="15" t="s">
        <v>1438</v>
      </c>
      <c r="L86" s="15" t="s">
        <v>1438</v>
      </c>
      <c r="M86" s="15" t="s">
        <v>1438</v>
      </c>
      <c r="N86" s="15" t="s">
        <v>1438</v>
      </c>
      <c r="O86" s="15" t="s">
        <v>1438</v>
      </c>
      <c r="P86" s="15" t="s">
        <v>1438</v>
      </c>
      <c r="Q86" s="15" t="s">
        <v>1438</v>
      </c>
      <c r="R86" s="15" t="s">
        <v>1438</v>
      </c>
      <c r="S86" s="15" t="s">
        <v>1438</v>
      </c>
      <c r="T86" s="15" t="s">
        <v>1438</v>
      </c>
      <c r="U86" s="15" t="s">
        <v>1438</v>
      </c>
      <c r="V86" s="15" t="n">
        <f aca="false">COUNTIF(I86:U86,"Pass")</f>
        <v>13</v>
      </c>
    </row>
    <row r="87" customFormat="false" ht="15" hidden="false" customHeight="false" outlineLevel="0" collapsed="false">
      <c r="A87" s="15" t="n">
        <v>86</v>
      </c>
      <c r="B87" s="15" t="s">
        <v>570</v>
      </c>
      <c r="C87" s="15" t="s">
        <v>567</v>
      </c>
      <c r="D87" s="15" t="s">
        <v>127</v>
      </c>
      <c r="E87" s="15" t="s">
        <v>571</v>
      </c>
      <c r="F87" s="15" t="n">
        <v>2639</v>
      </c>
      <c r="G87" s="15" t="n">
        <v>2400</v>
      </c>
      <c r="H87" s="15" t="str">
        <f aca="false">IF(COUNTIF(I87:U87,"Fail")=0,"PASS","FAIL")</f>
        <v>PASS</v>
      </c>
      <c r="I87" s="15" t="s">
        <v>1438</v>
      </c>
      <c r="J87" s="15" t="s">
        <v>1438</v>
      </c>
      <c r="K87" s="15" t="s">
        <v>1438</v>
      </c>
      <c r="L87" s="15" t="s">
        <v>1438</v>
      </c>
      <c r="M87" s="15" t="s">
        <v>1438</v>
      </c>
      <c r="N87" s="15" t="s">
        <v>1438</v>
      </c>
      <c r="O87" s="15" t="s">
        <v>1438</v>
      </c>
      <c r="P87" s="15" t="s">
        <v>1438</v>
      </c>
      <c r="Q87" s="15" t="s">
        <v>1438</v>
      </c>
      <c r="R87" s="15" t="s">
        <v>1438</v>
      </c>
      <c r="S87" s="15" t="s">
        <v>1438</v>
      </c>
      <c r="T87" s="15" t="s">
        <v>1438</v>
      </c>
      <c r="U87" s="15" t="s">
        <v>1438</v>
      </c>
      <c r="V87" s="15" t="n">
        <f aca="false">COUNTIF(I87:U87,"Pass")</f>
        <v>13</v>
      </c>
    </row>
    <row r="88" customFormat="false" ht="15" hidden="false" customHeight="false" outlineLevel="0" collapsed="false">
      <c r="A88" s="15" t="n">
        <v>87</v>
      </c>
      <c r="B88" s="15" t="s">
        <v>561</v>
      </c>
      <c r="C88" s="15" t="s">
        <v>557</v>
      </c>
      <c r="D88" s="15" t="s">
        <v>248</v>
      </c>
      <c r="E88" s="15" t="s">
        <v>562</v>
      </c>
      <c r="F88" s="15" t="n">
        <v>2385</v>
      </c>
      <c r="G88" s="15" t="n">
        <v>2000</v>
      </c>
      <c r="H88" s="15" t="str">
        <f aca="false">IF(COUNTIF(I88:U88,"Fail")=0,"PASS","FAIL")</f>
        <v>PASS</v>
      </c>
      <c r="I88" s="15" t="s">
        <v>1438</v>
      </c>
      <c r="J88" s="15" t="s">
        <v>1438</v>
      </c>
      <c r="K88" s="15" t="s">
        <v>1438</v>
      </c>
      <c r="L88" s="15" t="s">
        <v>1438</v>
      </c>
      <c r="M88" s="15" t="s">
        <v>1438</v>
      </c>
      <c r="N88" s="15" t="s">
        <v>1438</v>
      </c>
      <c r="O88" s="15" t="s">
        <v>1438</v>
      </c>
      <c r="P88" s="15" t="s">
        <v>1438</v>
      </c>
      <c r="Q88" s="15" t="s">
        <v>1438</v>
      </c>
      <c r="R88" s="15" t="s">
        <v>1438</v>
      </c>
      <c r="S88" s="15" t="s">
        <v>1438</v>
      </c>
      <c r="T88" s="15" t="s">
        <v>1438</v>
      </c>
      <c r="U88" s="15" t="s">
        <v>1438</v>
      </c>
      <c r="V88" s="15" t="n">
        <f aca="false">COUNTIF(I88:U88,"Pass")</f>
        <v>13</v>
      </c>
    </row>
    <row r="89" customFormat="false" ht="15" hidden="false" customHeight="false" outlineLevel="0" collapsed="false">
      <c r="A89" s="15" t="n">
        <v>88</v>
      </c>
      <c r="B89" s="15" t="s">
        <v>614</v>
      </c>
      <c r="C89" s="15" t="s">
        <v>611</v>
      </c>
      <c r="D89" s="15" t="s">
        <v>360</v>
      </c>
      <c r="E89" s="15" t="s">
        <v>615</v>
      </c>
      <c r="F89" s="15" t="n">
        <v>1686</v>
      </c>
      <c r="G89" s="15" t="n">
        <v>1600</v>
      </c>
      <c r="H89" s="15" t="str">
        <f aca="false">IF(COUNTIF(I89:U89,"Fail")=0,"PASS","FAIL")</f>
        <v>PASS</v>
      </c>
      <c r="I89" s="15" t="s">
        <v>1438</v>
      </c>
      <c r="J89" s="15" t="s">
        <v>1438</v>
      </c>
      <c r="K89" s="15" t="s">
        <v>1438</v>
      </c>
      <c r="L89" s="15" t="s">
        <v>1438</v>
      </c>
      <c r="M89" s="15" t="s">
        <v>1438</v>
      </c>
      <c r="N89" s="15" t="s">
        <v>1438</v>
      </c>
      <c r="O89" s="15" t="s">
        <v>1438</v>
      </c>
      <c r="P89" s="15" t="s">
        <v>1438</v>
      </c>
      <c r="Q89" s="15" t="s">
        <v>1438</v>
      </c>
      <c r="R89" s="15" t="s">
        <v>1438</v>
      </c>
      <c r="S89" s="15" t="s">
        <v>1438</v>
      </c>
      <c r="T89" s="15" t="s">
        <v>1438</v>
      </c>
      <c r="U89" s="15" t="s">
        <v>1438</v>
      </c>
      <c r="V89" s="15" t="n">
        <f aca="false">COUNTIF(I89:U89,"Pass")</f>
        <v>13</v>
      </c>
    </row>
    <row r="90" customFormat="false" ht="15" hidden="false" customHeight="false" outlineLevel="0" collapsed="false">
      <c r="A90" s="15" t="n">
        <v>89</v>
      </c>
      <c r="B90" s="15" t="s">
        <v>632</v>
      </c>
      <c r="C90" s="15" t="s">
        <v>629</v>
      </c>
      <c r="D90" s="15" t="s">
        <v>360</v>
      </c>
      <c r="E90" s="15" t="s">
        <v>633</v>
      </c>
      <c r="F90" s="15" t="n">
        <v>2463</v>
      </c>
      <c r="G90" s="15" t="n">
        <v>2600</v>
      </c>
      <c r="H90" s="15" t="str">
        <f aca="false">IF(COUNTIF(I90:U90,"Fail")=0,"PASS","FAIL")</f>
        <v>PASS</v>
      </c>
      <c r="I90" s="15" t="s">
        <v>1438</v>
      </c>
      <c r="J90" s="15" t="s">
        <v>1438</v>
      </c>
      <c r="K90" s="15" t="s">
        <v>1438</v>
      </c>
      <c r="L90" s="15" t="s">
        <v>1438</v>
      </c>
      <c r="M90" s="15" t="s">
        <v>1438</v>
      </c>
      <c r="N90" s="15" t="s">
        <v>1438</v>
      </c>
      <c r="O90" s="15" t="s">
        <v>1438</v>
      </c>
      <c r="P90" s="15" t="s">
        <v>1438</v>
      </c>
      <c r="Q90" s="15" t="s">
        <v>1438</v>
      </c>
      <c r="R90" s="15" t="s">
        <v>1438</v>
      </c>
      <c r="S90" s="15" t="s">
        <v>1438</v>
      </c>
      <c r="T90" s="15" t="s">
        <v>1438</v>
      </c>
      <c r="U90" s="15" t="s">
        <v>1438</v>
      </c>
      <c r="V90" s="15" t="n">
        <f aca="false">COUNTIF(I90:U90,"Pass")</f>
        <v>13</v>
      </c>
    </row>
    <row r="91" customFormat="false" ht="15" hidden="false" customHeight="false" outlineLevel="0" collapsed="false">
      <c r="A91" s="15" t="n">
        <v>90</v>
      </c>
      <c r="B91" s="15" t="s">
        <v>177</v>
      </c>
      <c r="C91" s="15" t="s">
        <v>172</v>
      </c>
      <c r="D91" s="15" t="s">
        <v>127</v>
      </c>
      <c r="E91" s="15" t="s">
        <v>178</v>
      </c>
      <c r="F91" s="15" t="n">
        <v>4639</v>
      </c>
      <c r="G91" s="15" t="n">
        <v>4000</v>
      </c>
      <c r="H91" s="15" t="str">
        <f aca="false">IF(COUNTIF(I91:U91,"Fail")=0,"PASS","FAIL")</f>
        <v>PASS</v>
      </c>
      <c r="I91" s="15" t="s">
        <v>1438</v>
      </c>
      <c r="J91" s="15" t="s">
        <v>1438</v>
      </c>
      <c r="K91" s="15" t="s">
        <v>1438</v>
      </c>
      <c r="L91" s="15" t="s">
        <v>1438</v>
      </c>
      <c r="M91" s="15" t="s">
        <v>1438</v>
      </c>
      <c r="N91" s="15" t="s">
        <v>1438</v>
      </c>
      <c r="O91" s="15" t="s">
        <v>1438</v>
      </c>
      <c r="P91" s="15" t="s">
        <v>1438</v>
      </c>
      <c r="Q91" s="15" t="s">
        <v>1438</v>
      </c>
      <c r="R91" s="15" t="s">
        <v>1438</v>
      </c>
      <c r="S91" s="15" t="s">
        <v>1438</v>
      </c>
      <c r="T91" s="15" t="s">
        <v>1438</v>
      </c>
      <c r="U91" s="15" t="s">
        <v>1438</v>
      </c>
      <c r="V91" s="15" t="n">
        <f aca="false">COUNTIF(I91:U91,"Pass")</f>
        <v>13</v>
      </c>
    </row>
    <row r="94" customFormat="false" ht="15" hidden="false" customHeight="false" outlineLevel="0" collapsed="false">
      <c r="A94" s="3" t="s">
        <v>1439</v>
      </c>
    </row>
    <row r="95" customFormat="false" ht="30" hidden="false" customHeight="true" outlineLevel="0" collapsed="false">
      <c r="A95" s="14" t="s">
        <v>1440</v>
      </c>
      <c r="B95" s="14" t="s">
        <v>1441</v>
      </c>
      <c r="C95" s="14" t="s">
        <v>1442</v>
      </c>
      <c r="D95" s="14" t="s">
        <v>1443</v>
      </c>
      <c r="E95" s="14"/>
      <c r="F95" s="14"/>
      <c r="G95" s="14"/>
      <c r="H95" s="14"/>
      <c r="I95" s="14"/>
      <c r="J95" s="14"/>
      <c r="K95" s="14"/>
      <c r="L95" s="14"/>
    </row>
    <row r="96" customFormat="false" ht="30" hidden="false" customHeight="true" outlineLevel="0" collapsed="false">
      <c r="A96" s="15" t="s">
        <v>1444</v>
      </c>
      <c r="B96" s="15" t="s">
        <v>1445</v>
      </c>
      <c r="C96" s="15" t="s">
        <v>1446</v>
      </c>
      <c r="D96" s="15" t="s">
        <v>1447</v>
      </c>
      <c r="E96" s="15"/>
      <c r="F96" s="15"/>
      <c r="G96" s="15"/>
      <c r="H96" s="15"/>
      <c r="I96" s="15"/>
      <c r="J96" s="15"/>
      <c r="K96" s="15"/>
      <c r="L96" s="15"/>
    </row>
    <row r="97" customFormat="false" ht="30" hidden="false" customHeight="true" outlineLevel="0" collapsed="false">
      <c r="A97" s="15" t="s">
        <v>1448</v>
      </c>
      <c r="B97" s="15" t="s">
        <v>1449</v>
      </c>
      <c r="C97" s="15" t="s">
        <v>1446</v>
      </c>
      <c r="D97" s="15" t="s">
        <v>1447</v>
      </c>
      <c r="E97" s="15"/>
      <c r="F97" s="15"/>
      <c r="G97" s="15"/>
      <c r="H97" s="15"/>
      <c r="I97" s="15"/>
      <c r="J97" s="15"/>
      <c r="K97" s="15"/>
      <c r="L97" s="15"/>
    </row>
    <row r="98" customFormat="false" ht="30" hidden="false" customHeight="true" outlineLevel="0" collapsed="false">
      <c r="A98" s="15" t="s">
        <v>1450</v>
      </c>
      <c r="B98" s="15" t="s">
        <v>1451</v>
      </c>
      <c r="C98" s="15" t="s">
        <v>1452</v>
      </c>
      <c r="D98" s="15" t="s">
        <v>1453</v>
      </c>
      <c r="E98" s="15"/>
      <c r="F98" s="15"/>
      <c r="G98" s="15"/>
      <c r="H98" s="15"/>
      <c r="I98" s="15"/>
      <c r="J98" s="15"/>
      <c r="K98" s="15"/>
      <c r="L98" s="15"/>
    </row>
    <row r="99" customFormat="false" ht="30" hidden="false" customHeight="true" outlineLevel="0" collapsed="false">
      <c r="A99" s="15" t="s">
        <v>1454</v>
      </c>
      <c r="B99" s="15" t="s">
        <v>1455</v>
      </c>
      <c r="C99" s="15" t="s">
        <v>1456</v>
      </c>
      <c r="D99" s="15" t="s">
        <v>1457</v>
      </c>
      <c r="E99" s="15"/>
      <c r="F99" s="15"/>
      <c r="G99" s="15"/>
      <c r="H99" s="15"/>
      <c r="I99" s="15"/>
      <c r="J99" s="15"/>
      <c r="K99" s="15"/>
      <c r="L99" s="15"/>
    </row>
    <row r="100" customFormat="false" ht="30" hidden="false" customHeight="true" outlineLevel="0" collapsed="false">
      <c r="A100" s="15" t="s">
        <v>1458</v>
      </c>
      <c r="B100" s="15" t="s">
        <v>1459</v>
      </c>
      <c r="C100" s="15" t="s">
        <v>1460</v>
      </c>
      <c r="D100" s="15" t="s">
        <v>1461</v>
      </c>
      <c r="E100" s="15"/>
      <c r="F100" s="15"/>
      <c r="G100" s="15"/>
      <c r="H100" s="15"/>
      <c r="I100" s="15"/>
      <c r="J100" s="15"/>
      <c r="K100" s="15"/>
      <c r="L100" s="15"/>
    </row>
  </sheetData>
  <autoFilter ref="A1:V91"/>
  <mergeCells count="6">
    <mergeCell ref="D95:L95"/>
    <mergeCell ref="D96:L96"/>
    <mergeCell ref="D97:L97"/>
    <mergeCell ref="D98:L98"/>
    <mergeCell ref="D99:L99"/>
    <mergeCell ref="D100:L100"/>
  </mergeCells>
  <conditionalFormatting sqref="H2:U91">
    <cfRule type="cellIs" priority="2" operator="equal" aboveAverage="0" equalAverage="0" bottom="0" percent="0" rank="0" text="" dxfId="4">
      <formula>"PASS"</formula>
    </cfRule>
    <cfRule type="cellIs" priority="3" operator="equal" aboveAverage="0" equalAverage="0" bottom="0" percent="0" rank="0" text="" dxfId="4">
      <formula>"Pass"</formula>
    </cfRule>
    <cfRule type="cellIs" priority="4" operator="equal" aboveAverage="0" equalAverage="0" bottom="0" percent="0" rank="0" text="" dxfId="6">
      <formula>"FAIL"</formula>
    </cfRule>
    <cfRule type="cellIs" priority="5" operator="equal" aboveAverage="0" equalAverage="0" bottom="0" percent="0" rank="0" text="" dxfId="6">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D13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44"/>
    <col collapsed="false" customWidth="true" hidden="false" outlineLevel="0" max="3" min="3" style="0" width="60"/>
    <col collapsed="false" customWidth="true" hidden="false" outlineLevel="0" max="4" min="4" style="0" width="11"/>
  </cols>
  <sheetData>
    <row r="1" customFormat="false" ht="30" hidden="false" customHeight="true" outlineLevel="0" collapsed="false">
      <c r="A1" s="14" t="s">
        <v>1462</v>
      </c>
      <c r="B1" s="14" t="s">
        <v>1463</v>
      </c>
      <c r="C1" s="14" t="s">
        <v>1464</v>
      </c>
      <c r="D1" s="14" t="s">
        <v>1465</v>
      </c>
    </row>
    <row r="2" customFormat="false" ht="15" hidden="false" customHeight="false" outlineLevel="0" collapsed="false">
      <c r="A2" s="15" t="s">
        <v>100</v>
      </c>
      <c r="B2" s="15" t="s">
        <v>147</v>
      </c>
      <c r="C2" s="15" t="s">
        <v>1466</v>
      </c>
      <c r="D2" s="15" t="str">
        <f aca="false">IF(ISNUMBER(MATCH(B2,Pages!$B$2:$B$98,0)),"Yes","Check")</f>
        <v>Yes</v>
      </c>
    </row>
    <row r="3" customFormat="false" ht="15" hidden="false" customHeight="false" outlineLevel="0" collapsed="false">
      <c r="A3" s="15" t="s">
        <v>100</v>
      </c>
      <c r="B3" s="15" t="s">
        <v>977</v>
      </c>
      <c r="C3" s="15" t="s">
        <v>1467</v>
      </c>
      <c r="D3" s="15" t="str">
        <f aca="false">IF(ISNUMBER(MATCH(B3,Pages!$B$2:$B$98,0)),"Yes","Check")</f>
        <v>Yes</v>
      </c>
    </row>
    <row r="4" customFormat="false" ht="15" hidden="false" customHeight="false" outlineLevel="0" collapsed="false">
      <c r="A4" s="15" t="s">
        <v>100</v>
      </c>
      <c r="B4" s="15" t="s">
        <v>495</v>
      </c>
      <c r="C4" s="15" t="s">
        <v>1468</v>
      </c>
      <c r="D4" s="15" t="str">
        <f aca="false">IF(ISNUMBER(MATCH(B4,Pages!$B$2:$B$98,0)),"Yes","Check")</f>
        <v>Yes</v>
      </c>
    </row>
    <row r="5" customFormat="false" ht="15" hidden="false" customHeight="false" outlineLevel="0" collapsed="false">
      <c r="A5" s="15" t="s">
        <v>100</v>
      </c>
      <c r="B5" s="15" t="s">
        <v>881</v>
      </c>
      <c r="C5" s="15" t="s">
        <v>1469</v>
      </c>
      <c r="D5" s="15" t="str">
        <f aca="false">IF(ISNUMBER(MATCH(B5,Pages!$B$2:$B$98,0)),"Yes","Check")</f>
        <v>Yes</v>
      </c>
    </row>
    <row r="6" customFormat="false" ht="15" hidden="false" customHeight="false" outlineLevel="0" collapsed="false">
      <c r="A6" s="15" t="s">
        <v>100</v>
      </c>
      <c r="B6" s="15" t="s">
        <v>961</v>
      </c>
      <c r="C6" s="15" t="s">
        <v>1470</v>
      </c>
      <c r="D6" s="15" t="str">
        <f aca="false">IF(ISNUMBER(MATCH(B6,Pages!$B$2:$B$98,0)),"Yes","Check")</f>
        <v>Yes</v>
      </c>
    </row>
    <row r="7" customFormat="false" ht="15" hidden="false" customHeight="false" outlineLevel="0" collapsed="false">
      <c r="A7" s="15" t="s">
        <v>100</v>
      </c>
      <c r="B7" s="15" t="s">
        <v>155</v>
      </c>
      <c r="C7" s="15" t="s">
        <v>1471</v>
      </c>
      <c r="D7" s="15" t="str">
        <f aca="false">IF(ISNUMBER(MATCH(B7,Pages!$B$2:$B$98,0)),"Yes","Check")</f>
        <v>Yes</v>
      </c>
    </row>
    <row r="8" customFormat="false" ht="23.85" hidden="false" customHeight="false" outlineLevel="0" collapsed="false">
      <c r="A8" s="15" t="s">
        <v>100</v>
      </c>
      <c r="B8" s="15" t="s">
        <v>926</v>
      </c>
      <c r="C8" s="15" t="s">
        <v>1472</v>
      </c>
      <c r="D8" s="15" t="str">
        <f aca="false">IF(ISNUMBER(MATCH(B8,Pages!$B$2:$B$98,0)),"Yes","Check")</f>
        <v>Yes</v>
      </c>
    </row>
    <row r="9" customFormat="false" ht="23.85" hidden="false" customHeight="false" outlineLevel="0" collapsed="false">
      <c r="A9" s="15" t="s">
        <v>100</v>
      </c>
      <c r="B9" s="15" t="s">
        <v>881</v>
      </c>
      <c r="C9" s="15" t="s">
        <v>1473</v>
      </c>
      <c r="D9" s="15" t="str">
        <f aca="false">IF(ISNUMBER(MATCH(B9,Pages!$B$2:$B$98,0)),"Yes","Check")</f>
        <v>Yes</v>
      </c>
    </row>
    <row r="10" customFormat="false" ht="23.85" hidden="false" customHeight="false" outlineLevel="0" collapsed="false">
      <c r="A10" s="15" t="s">
        <v>100</v>
      </c>
      <c r="B10" s="15" t="s">
        <v>748</v>
      </c>
      <c r="C10" s="15" t="s">
        <v>1474</v>
      </c>
      <c r="D10" s="15" t="str">
        <f aca="false">IF(ISNUMBER(MATCH(B10,Pages!$B$2:$B$98,0)),"Yes","Check")</f>
        <v>Yes</v>
      </c>
    </row>
    <row r="11" customFormat="false" ht="23.85" hidden="false" customHeight="false" outlineLevel="0" collapsed="false">
      <c r="A11" s="15" t="s">
        <v>100</v>
      </c>
      <c r="B11" s="15" t="s">
        <v>404</v>
      </c>
      <c r="C11" s="15" t="s">
        <v>1475</v>
      </c>
      <c r="D11" s="15" t="str">
        <f aca="false">IF(ISNUMBER(MATCH(B11,Pages!$B$2:$B$98,0)),"Yes","Check")</f>
        <v>Yes</v>
      </c>
    </row>
    <row r="12" customFormat="false" ht="23.85" hidden="false" customHeight="false" outlineLevel="0" collapsed="false">
      <c r="A12" s="15" t="s">
        <v>100</v>
      </c>
      <c r="B12" s="15" t="s">
        <v>513</v>
      </c>
      <c r="C12" s="15" t="s">
        <v>1476</v>
      </c>
      <c r="D12" s="15" t="str">
        <f aca="false">IF(ISNUMBER(MATCH(B12,Pages!$B$2:$B$98,0)),"Yes","Check")</f>
        <v>Yes</v>
      </c>
    </row>
    <row r="13" customFormat="false" ht="23.85" hidden="false" customHeight="false" outlineLevel="0" collapsed="false">
      <c r="A13" s="15" t="s">
        <v>100</v>
      </c>
      <c r="B13" s="15" t="s">
        <v>792</v>
      </c>
      <c r="C13" s="15" t="s">
        <v>1477</v>
      </c>
      <c r="D13" s="15" t="str">
        <f aca="false">IF(ISNUMBER(MATCH(B13,Pages!$B$2:$B$98,0)),"Yes","Check")</f>
        <v>Yes</v>
      </c>
    </row>
    <row r="14" customFormat="false" ht="15" hidden="false" customHeight="false" outlineLevel="0" collapsed="false">
      <c r="A14" s="15" t="s">
        <v>100</v>
      </c>
      <c r="B14" s="15" t="s">
        <v>926</v>
      </c>
      <c r="C14" s="15" t="s">
        <v>1478</v>
      </c>
      <c r="D14" s="15" t="str">
        <f aca="false">IF(ISNUMBER(MATCH(B14,Pages!$B$2:$B$98,0)),"Yes","Check")</f>
        <v>Yes</v>
      </c>
    </row>
    <row r="15" customFormat="false" ht="15" hidden="false" customHeight="false" outlineLevel="0" collapsed="false">
      <c r="A15" s="15" t="s">
        <v>100</v>
      </c>
      <c r="B15" s="15" t="s">
        <v>881</v>
      </c>
      <c r="C15" s="15" t="s">
        <v>1479</v>
      </c>
      <c r="D15" s="15" t="str">
        <f aca="false">IF(ISNUMBER(MATCH(B15,Pages!$B$2:$B$98,0)),"Yes","Check")</f>
        <v>Yes</v>
      </c>
    </row>
    <row r="16" customFormat="false" ht="15" hidden="false" customHeight="false" outlineLevel="0" collapsed="false">
      <c r="A16" s="15" t="s">
        <v>100</v>
      </c>
      <c r="B16" s="15" t="s">
        <v>775</v>
      </c>
      <c r="C16" s="15" t="s">
        <v>1480</v>
      </c>
      <c r="D16" s="15" t="str">
        <f aca="false">IF(ISNUMBER(MATCH(B16,Pages!$B$2:$B$98,0)),"Yes","Check")</f>
        <v>Yes</v>
      </c>
    </row>
    <row r="17" customFormat="false" ht="15" hidden="false" customHeight="false" outlineLevel="0" collapsed="false">
      <c r="A17" s="15" t="s">
        <v>100</v>
      </c>
      <c r="B17" s="15" t="s">
        <v>228</v>
      </c>
      <c r="C17" s="15" t="s">
        <v>1481</v>
      </c>
      <c r="D17" s="15" t="str">
        <f aca="false">IF(ISNUMBER(MATCH(B17,Pages!$B$2:$B$98,0)),"Yes","Check")</f>
        <v>Yes</v>
      </c>
    </row>
    <row r="18" customFormat="false" ht="15" hidden="false" customHeight="false" outlineLevel="0" collapsed="false">
      <c r="A18" s="15" t="s">
        <v>100</v>
      </c>
      <c r="B18" s="15" t="s">
        <v>450</v>
      </c>
      <c r="C18" s="15" t="s">
        <v>1482</v>
      </c>
      <c r="D18" s="15" t="str">
        <f aca="false">IF(ISNUMBER(MATCH(B18,Pages!$B$2:$B$98,0)),"Yes","Check")</f>
        <v>Yes</v>
      </c>
    </row>
    <row r="19" customFormat="false" ht="15" hidden="false" customHeight="false" outlineLevel="0" collapsed="false">
      <c r="A19" s="15" t="s">
        <v>100</v>
      </c>
      <c r="B19" s="15" t="s">
        <v>116</v>
      </c>
      <c r="C19" s="15" t="s">
        <v>1483</v>
      </c>
      <c r="D19" s="15" t="str">
        <f aca="false">IF(ISNUMBER(MATCH(B19,Pages!$B$2:$B$98,0)),"Yes","Check")</f>
        <v>Yes</v>
      </c>
    </row>
    <row r="20" customFormat="false" ht="15" hidden="false" customHeight="false" outlineLevel="0" collapsed="false">
      <c r="A20" s="15" t="s">
        <v>116</v>
      </c>
      <c r="B20" s="15" t="s">
        <v>961</v>
      </c>
      <c r="C20" s="15" t="s">
        <v>1470</v>
      </c>
      <c r="D20" s="15" t="str">
        <f aca="false">IF(ISNUMBER(MATCH(B20,Pages!$B$2:$B$98,0)),"Yes","Check")</f>
        <v>Yes</v>
      </c>
    </row>
    <row r="21" customFormat="false" ht="15" hidden="false" customHeight="false" outlineLevel="0" collapsed="false">
      <c r="A21" s="15" t="s">
        <v>116</v>
      </c>
      <c r="B21" s="15" t="s">
        <v>295</v>
      </c>
      <c r="C21" s="15" t="s">
        <v>1484</v>
      </c>
      <c r="D21" s="15" t="str">
        <f aca="false">IF(ISNUMBER(MATCH(B21,Pages!$B$2:$B$98,0)),"Yes","Check")</f>
        <v>Yes</v>
      </c>
    </row>
    <row r="22" customFormat="false" ht="15" hidden="false" customHeight="false" outlineLevel="0" collapsed="false">
      <c r="A22" s="15" t="s">
        <v>116</v>
      </c>
      <c r="B22" s="15" t="s">
        <v>450</v>
      </c>
      <c r="C22" s="15" t="s">
        <v>1485</v>
      </c>
      <c r="D22" s="15" t="str">
        <f aca="false">IF(ISNUMBER(MATCH(B22,Pages!$B$2:$B$98,0)),"Yes","Check")</f>
        <v>Yes</v>
      </c>
    </row>
    <row r="23" customFormat="false" ht="15" hidden="false" customHeight="false" outlineLevel="0" collapsed="false">
      <c r="A23" s="15" t="s">
        <v>116</v>
      </c>
      <c r="B23" s="15" t="s">
        <v>775</v>
      </c>
      <c r="C23" s="15" t="s">
        <v>1480</v>
      </c>
      <c r="D23" s="15" t="str">
        <f aca="false">IF(ISNUMBER(MATCH(B23,Pages!$B$2:$B$98,0)),"Yes","Check")</f>
        <v>Yes</v>
      </c>
    </row>
    <row r="24" customFormat="false" ht="15" hidden="false" customHeight="false" outlineLevel="0" collapsed="false">
      <c r="A24" s="15" t="s">
        <v>116</v>
      </c>
      <c r="B24" s="15" t="s">
        <v>468</v>
      </c>
      <c r="C24" s="15" t="s">
        <v>1486</v>
      </c>
      <c r="D24" s="15" t="str">
        <f aca="false">IF(ISNUMBER(MATCH(B24,Pages!$B$2:$B$98,0)),"Yes","Check")</f>
        <v>Yes</v>
      </c>
    </row>
    <row r="25" customFormat="false" ht="15" hidden="false" customHeight="false" outlineLevel="0" collapsed="false">
      <c r="A25" s="15" t="s">
        <v>172</v>
      </c>
      <c r="B25" s="15" t="s">
        <v>183</v>
      </c>
      <c r="C25" s="15" t="s">
        <v>1487</v>
      </c>
      <c r="D25" s="15" t="str">
        <f aca="false">IF(ISNUMBER(MATCH(B25,Pages!$B$2:$B$98,0)),"Yes","Check")</f>
        <v>Yes</v>
      </c>
    </row>
    <row r="26" customFormat="false" ht="15" hidden="false" customHeight="false" outlineLevel="0" collapsed="false">
      <c r="A26" s="15" t="s">
        <v>172</v>
      </c>
      <c r="B26" s="15" t="s">
        <v>934</v>
      </c>
      <c r="C26" s="15" t="s">
        <v>1488</v>
      </c>
      <c r="D26" s="15" t="str">
        <f aca="false">IF(ISNUMBER(MATCH(B26,Pages!$B$2:$B$98,0)),"Yes","Check")</f>
        <v>Yes</v>
      </c>
    </row>
    <row r="27" customFormat="false" ht="15" hidden="false" customHeight="false" outlineLevel="0" collapsed="false">
      <c r="A27" s="15" t="s">
        <v>172</v>
      </c>
      <c r="B27" s="15" t="s">
        <v>926</v>
      </c>
      <c r="C27" s="15" t="s">
        <v>1489</v>
      </c>
      <c r="D27" s="15" t="str">
        <f aca="false">IF(ISNUMBER(MATCH(B27,Pages!$B$2:$B$98,0)),"Yes","Check")</f>
        <v>Yes</v>
      </c>
    </row>
    <row r="28" customFormat="false" ht="15" hidden="false" customHeight="false" outlineLevel="0" collapsed="false">
      <c r="A28" s="15" t="s">
        <v>172</v>
      </c>
      <c r="B28" s="15" t="s">
        <v>748</v>
      </c>
      <c r="C28" s="15" t="s">
        <v>1490</v>
      </c>
      <c r="D28" s="15" t="str">
        <f aca="false">IF(ISNUMBER(MATCH(B28,Pages!$B$2:$B$98,0)),"Yes","Check")</f>
        <v>Yes</v>
      </c>
    </row>
    <row r="29" customFormat="false" ht="15" hidden="false" customHeight="false" outlineLevel="0" collapsed="false">
      <c r="A29" s="15" t="s">
        <v>172</v>
      </c>
      <c r="B29" s="15" t="s">
        <v>775</v>
      </c>
      <c r="C29" s="15" t="s">
        <v>1491</v>
      </c>
      <c r="D29" s="15" t="str">
        <f aca="false">IF(ISNUMBER(MATCH(B29,Pages!$B$2:$B$98,0)),"Yes","Check")</f>
        <v>Yes</v>
      </c>
    </row>
    <row r="30" customFormat="false" ht="15" hidden="false" customHeight="false" outlineLevel="0" collapsed="false">
      <c r="A30" s="15" t="s">
        <v>172</v>
      </c>
      <c r="B30" s="15" t="s">
        <v>450</v>
      </c>
      <c r="C30" s="15" t="s">
        <v>1492</v>
      </c>
      <c r="D30" s="15" t="str">
        <f aca="false">IF(ISNUMBER(MATCH(B30,Pages!$B$2:$B$98,0)),"Yes","Check")</f>
        <v>Yes</v>
      </c>
    </row>
    <row r="31" customFormat="false" ht="15" hidden="false" customHeight="false" outlineLevel="0" collapsed="false">
      <c r="A31" s="15" t="s">
        <v>172</v>
      </c>
      <c r="B31" s="15" t="s">
        <v>722</v>
      </c>
      <c r="C31" s="15" t="s">
        <v>1493</v>
      </c>
      <c r="D31" s="15" t="str">
        <f aca="false">IF(ISNUMBER(MATCH(B31,Pages!$B$2:$B$98,0)),"Yes","Check")</f>
        <v>Yes</v>
      </c>
    </row>
    <row r="32" customFormat="false" ht="15" hidden="false" customHeight="false" outlineLevel="0" collapsed="false">
      <c r="A32" s="15" t="s">
        <v>172</v>
      </c>
      <c r="B32" s="15" t="s">
        <v>792</v>
      </c>
      <c r="C32" s="15" t="s">
        <v>1494</v>
      </c>
      <c r="D32" s="15" t="str">
        <f aca="false">IF(ISNUMBER(MATCH(B32,Pages!$B$2:$B$98,0)),"Yes","Check")</f>
        <v>Yes</v>
      </c>
    </row>
    <row r="33" customFormat="false" ht="15" hidden="false" customHeight="false" outlineLevel="0" collapsed="false">
      <c r="A33" s="15" t="s">
        <v>172</v>
      </c>
      <c r="B33" s="15" t="s">
        <v>116</v>
      </c>
      <c r="C33" s="15" t="s">
        <v>1483</v>
      </c>
      <c r="D33" s="15" t="str">
        <f aca="false">IF(ISNUMBER(MATCH(B33,Pages!$B$2:$B$98,0)),"Yes","Check")</f>
        <v>Yes</v>
      </c>
    </row>
    <row r="34" customFormat="false" ht="15" hidden="false" customHeight="false" outlineLevel="0" collapsed="false">
      <c r="A34" s="15" t="s">
        <v>183</v>
      </c>
      <c r="B34" s="15" t="s">
        <v>155</v>
      </c>
      <c r="C34" s="15" t="s">
        <v>1495</v>
      </c>
      <c r="D34" s="15" t="str">
        <f aca="false">IF(ISNUMBER(MATCH(B34,Pages!$B$2:$B$98,0)),"Yes","Check")</f>
        <v>Yes</v>
      </c>
    </row>
    <row r="35" customFormat="false" ht="15" hidden="false" customHeight="false" outlineLevel="0" collapsed="false">
      <c r="A35" s="15" t="s">
        <v>183</v>
      </c>
      <c r="B35" s="15" t="s">
        <v>172</v>
      </c>
      <c r="C35" s="15" t="s">
        <v>1496</v>
      </c>
      <c r="D35" s="15" t="str">
        <f aca="false">IF(ISNUMBER(MATCH(B35,Pages!$B$2:$B$98,0)),"Yes","Check")</f>
        <v>Yes</v>
      </c>
    </row>
    <row r="36" customFormat="false" ht="15" hidden="false" customHeight="false" outlineLevel="0" collapsed="false">
      <c r="A36" s="15" t="s">
        <v>183</v>
      </c>
      <c r="B36" s="15" t="s">
        <v>934</v>
      </c>
      <c r="C36" s="15" t="s">
        <v>1488</v>
      </c>
      <c r="D36" s="15" t="str">
        <f aca="false">IF(ISNUMBER(MATCH(B36,Pages!$B$2:$B$98,0)),"Yes","Check")</f>
        <v>Yes</v>
      </c>
    </row>
    <row r="37" customFormat="false" ht="15" hidden="false" customHeight="false" outlineLevel="0" collapsed="false">
      <c r="A37" s="15" t="s">
        <v>183</v>
      </c>
      <c r="B37" s="15" t="s">
        <v>576</v>
      </c>
      <c r="C37" s="15" t="s">
        <v>1497</v>
      </c>
      <c r="D37" s="15" t="str">
        <f aca="false">IF(ISNUMBER(MATCH(B37,Pages!$B$2:$B$98,0)),"Yes","Check")</f>
        <v>Yes</v>
      </c>
    </row>
    <row r="38" customFormat="false" ht="15" hidden="false" customHeight="false" outlineLevel="0" collapsed="false">
      <c r="A38" s="15" t="s">
        <v>183</v>
      </c>
      <c r="B38" s="15" t="s">
        <v>195</v>
      </c>
      <c r="C38" s="15" t="s">
        <v>1498</v>
      </c>
      <c r="D38" s="15" t="str">
        <f aca="false">IF(ISNUMBER(MATCH(B38,Pages!$B$2:$B$98,0)),"Yes","Check")</f>
        <v>Yes</v>
      </c>
    </row>
    <row r="39" customFormat="false" ht="15" hidden="false" customHeight="false" outlineLevel="0" collapsed="false">
      <c r="A39" s="15" t="s">
        <v>183</v>
      </c>
      <c r="B39" s="15" t="s">
        <v>688</v>
      </c>
      <c r="C39" s="15" t="s">
        <v>1498</v>
      </c>
      <c r="D39" s="15" t="str">
        <f aca="false">IF(ISNUMBER(MATCH(B39,Pages!$B$2:$B$98,0)),"Yes","Check")</f>
        <v>Yes</v>
      </c>
    </row>
    <row r="40" customFormat="false" ht="15" hidden="false" customHeight="false" outlineLevel="0" collapsed="false">
      <c r="A40" s="15" t="s">
        <v>183</v>
      </c>
      <c r="B40" s="15" t="s">
        <v>967</v>
      </c>
      <c r="C40" s="15" t="s">
        <v>1498</v>
      </c>
      <c r="D40" s="15" t="str">
        <f aca="false">IF(ISNUMBER(MATCH(B40,Pages!$B$2:$B$98,0)),"Yes","Check")</f>
        <v>Yes</v>
      </c>
    </row>
    <row r="41" customFormat="false" ht="15" hidden="false" customHeight="false" outlineLevel="0" collapsed="false">
      <c r="A41" s="15" t="s">
        <v>183</v>
      </c>
      <c r="B41" s="15" t="s">
        <v>837</v>
      </c>
      <c r="C41" s="15" t="s">
        <v>1498</v>
      </c>
      <c r="D41" s="15" t="str">
        <f aca="false">IF(ISNUMBER(MATCH(B41,Pages!$B$2:$B$98,0)),"Yes","Check")</f>
        <v>Yes</v>
      </c>
    </row>
    <row r="42" customFormat="false" ht="15" hidden="false" customHeight="false" outlineLevel="0" collapsed="false">
      <c r="A42" s="15" t="s">
        <v>183</v>
      </c>
      <c r="B42" s="15" t="s">
        <v>638</v>
      </c>
      <c r="C42" s="15" t="s">
        <v>1498</v>
      </c>
      <c r="D42" s="15" t="str">
        <f aca="false">IF(ISNUMBER(MATCH(B42,Pages!$B$2:$B$98,0)),"Yes","Check")</f>
        <v>Yes</v>
      </c>
    </row>
    <row r="43" customFormat="false" ht="15" hidden="false" customHeight="false" outlineLevel="0" collapsed="false">
      <c r="A43" s="15" t="s">
        <v>183</v>
      </c>
      <c r="B43" s="15" t="s">
        <v>217</v>
      </c>
      <c r="C43" s="15" t="s">
        <v>1498</v>
      </c>
      <c r="D43" s="15" t="str">
        <f aca="false">IF(ISNUMBER(MATCH(B43,Pages!$B$2:$B$98,0)),"Yes","Check")</f>
        <v>Yes</v>
      </c>
    </row>
    <row r="44" customFormat="false" ht="15" hidden="false" customHeight="false" outlineLevel="0" collapsed="false">
      <c r="A44" s="15" t="s">
        <v>183</v>
      </c>
      <c r="B44" s="15" t="s">
        <v>819</v>
      </c>
      <c r="C44" s="15" t="s">
        <v>1498</v>
      </c>
      <c r="D44" s="15" t="str">
        <f aca="false">IF(ISNUMBER(MATCH(B44,Pages!$B$2:$B$98,0)),"Yes","Check")</f>
        <v>Yes</v>
      </c>
    </row>
    <row r="45" customFormat="false" ht="15" hidden="false" customHeight="false" outlineLevel="0" collapsed="false">
      <c r="A45" s="15" t="s">
        <v>183</v>
      </c>
      <c r="B45" s="15" t="s">
        <v>237</v>
      </c>
      <c r="C45" s="15" t="s">
        <v>1498</v>
      </c>
      <c r="D45" s="15" t="str">
        <f aca="false">IF(ISNUMBER(MATCH(B45,Pages!$B$2:$B$98,0)),"Yes","Check")</f>
        <v>Yes</v>
      </c>
    </row>
    <row r="46" customFormat="false" ht="15" hidden="false" customHeight="false" outlineLevel="0" collapsed="false">
      <c r="A46" s="15" t="s">
        <v>183</v>
      </c>
      <c r="B46" s="15" t="s">
        <v>713</v>
      </c>
      <c r="C46" s="15" t="s">
        <v>1498</v>
      </c>
      <c r="D46" s="15" t="str">
        <f aca="false">IF(ISNUMBER(MATCH(B46,Pages!$B$2:$B$98,0)),"Yes","Check")</f>
        <v>Yes</v>
      </c>
    </row>
    <row r="47" customFormat="false" ht="15" hidden="false" customHeight="false" outlineLevel="0" collapsed="false">
      <c r="A47" s="15" t="s">
        <v>183</v>
      </c>
      <c r="B47" s="15" t="s">
        <v>246</v>
      </c>
      <c r="C47" s="15" t="s">
        <v>1498</v>
      </c>
      <c r="D47" s="15" t="str">
        <f aca="false">IF(ISNUMBER(MATCH(B47,Pages!$B$2:$B$98,0)),"Yes","Check")</f>
        <v>Yes</v>
      </c>
    </row>
    <row r="48" customFormat="false" ht="15" hidden="false" customHeight="false" outlineLevel="0" collapsed="false">
      <c r="A48" s="15" t="s">
        <v>183</v>
      </c>
      <c r="B48" s="15" t="s">
        <v>775</v>
      </c>
      <c r="C48" s="15" t="s">
        <v>1498</v>
      </c>
      <c r="D48" s="15" t="str">
        <f aca="false">IF(ISNUMBER(MATCH(B48,Pages!$B$2:$B$98,0)),"Yes","Check")</f>
        <v>Yes</v>
      </c>
    </row>
    <row r="49" customFormat="false" ht="15" hidden="false" customHeight="false" outlineLevel="0" collapsed="false">
      <c r="A49" s="15" t="s">
        <v>183</v>
      </c>
      <c r="B49" s="15" t="s">
        <v>662</v>
      </c>
      <c r="C49" s="15" t="s">
        <v>1498</v>
      </c>
      <c r="D49" s="15" t="str">
        <f aca="false">IF(ISNUMBER(MATCH(B49,Pages!$B$2:$B$98,0)),"Yes","Check")</f>
        <v>Yes</v>
      </c>
    </row>
    <row r="50" customFormat="false" ht="15" hidden="false" customHeight="false" outlineLevel="0" collapsed="false">
      <c r="A50" s="15" t="s">
        <v>183</v>
      </c>
      <c r="B50" s="15" t="s">
        <v>395</v>
      </c>
      <c r="C50" s="15" t="s">
        <v>1498</v>
      </c>
      <c r="D50" s="15" t="str">
        <f aca="false">IF(ISNUMBER(MATCH(B50,Pages!$B$2:$B$98,0)),"Yes","Check")</f>
        <v>Yes</v>
      </c>
    </row>
    <row r="51" customFormat="false" ht="15" hidden="false" customHeight="false" outlineLevel="0" collapsed="false">
      <c r="A51" s="15" t="s">
        <v>183</v>
      </c>
      <c r="B51" s="15" t="s">
        <v>890</v>
      </c>
      <c r="C51" s="15" t="s">
        <v>1498</v>
      </c>
      <c r="D51" s="15" t="str">
        <f aca="false">IF(ISNUMBER(MATCH(B51,Pages!$B$2:$B$98,0)),"Yes","Check")</f>
        <v>Yes</v>
      </c>
    </row>
    <row r="52" customFormat="false" ht="15" hidden="false" customHeight="false" outlineLevel="0" collapsed="false">
      <c r="A52" s="15" t="s">
        <v>183</v>
      </c>
      <c r="B52" s="15" t="s">
        <v>792</v>
      </c>
      <c r="C52" s="15" t="s">
        <v>1498</v>
      </c>
      <c r="D52" s="15" t="str">
        <f aca="false">IF(ISNUMBER(MATCH(B52,Pages!$B$2:$B$98,0)),"Yes","Check")</f>
        <v>Yes</v>
      </c>
    </row>
    <row r="53" customFormat="false" ht="15" hidden="false" customHeight="false" outlineLevel="0" collapsed="false">
      <c r="A53" s="15" t="s">
        <v>183</v>
      </c>
      <c r="B53" s="15" t="s">
        <v>486</v>
      </c>
      <c r="C53" s="15" t="s">
        <v>1498</v>
      </c>
      <c r="D53" s="15" t="str">
        <f aca="false">IF(ISNUMBER(MATCH(B53,Pages!$B$2:$B$98,0)),"Yes","Check")</f>
        <v>Yes</v>
      </c>
    </row>
    <row r="54" customFormat="false" ht="15" hidden="false" customHeight="false" outlineLevel="0" collapsed="false">
      <c r="A54" s="15" t="s">
        <v>183</v>
      </c>
      <c r="B54" s="15" t="s">
        <v>679</v>
      </c>
      <c r="C54" s="15" t="s">
        <v>1498</v>
      </c>
      <c r="D54" s="15" t="str">
        <f aca="false">IF(ISNUMBER(MATCH(B54,Pages!$B$2:$B$98,0)),"Yes","Check")</f>
        <v>Yes</v>
      </c>
    </row>
    <row r="55" customFormat="false" ht="15" hidden="false" customHeight="false" outlineLevel="0" collapsed="false">
      <c r="A55" s="15" t="s">
        <v>183</v>
      </c>
      <c r="B55" s="15" t="s">
        <v>286</v>
      </c>
      <c r="C55" s="15" t="s">
        <v>1498</v>
      </c>
      <c r="D55" s="15" t="str">
        <f aca="false">IF(ISNUMBER(MATCH(B55,Pages!$B$2:$B$98,0)),"Yes","Check")</f>
        <v>Yes</v>
      </c>
    </row>
    <row r="56" customFormat="false" ht="15" hidden="false" customHeight="false" outlineLevel="0" collapsed="false">
      <c r="A56" s="15" t="s">
        <v>183</v>
      </c>
      <c r="B56" s="15" t="s">
        <v>477</v>
      </c>
      <c r="C56" s="15" t="s">
        <v>1498</v>
      </c>
      <c r="D56" s="15" t="str">
        <f aca="false">IF(ISNUMBER(MATCH(B56,Pages!$B$2:$B$98,0)),"Yes","Check")</f>
        <v>Yes</v>
      </c>
    </row>
    <row r="57" customFormat="false" ht="15" hidden="false" customHeight="false" outlineLevel="0" collapsed="false">
      <c r="A57" s="15" t="s">
        <v>183</v>
      </c>
      <c r="B57" s="15" t="s">
        <v>722</v>
      </c>
      <c r="C57" s="15" t="s">
        <v>1498</v>
      </c>
      <c r="D57" s="15" t="str">
        <f aca="false">IF(ISNUMBER(MATCH(B57,Pages!$B$2:$B$98,0)),"Yes","Check")</f>
        <v>Yes</v>
      </c>
    </row>
    <row r="58" customFormat="false" ht="15" hidden="false" customHeight="false" outlineLevel="0" collapsed="false">
      <c r="A58" s="15" t="s">
        <v>183</v>
      </c>
      <c r="B58" s="15" t="s">
        <v>277</v>
      </c>
      <c r="C58" s="15" t="s">
        <v>1498</v>
      </c>
      <c r="D58" s="15" t="str">
        <f aca="false">IF(ISNUMBER(MATCH(B58,Pages!$B$2:$B$98,0)),"Yes","Check")</f>
        <v>Yes</v>
      </c>
    </row>
    <row r="59" customFormat="false" ht="15" hidden="false" customHeight="false" outlineLevel="0" collapsed="false">
      <c r="A59" s="15" t="s">
        <v>183</v>
      </c>
      <c r="B59" s="15" t="s">
        <v>304</v>
      </c>
      <c r="C59" s="15" t="s">
        <v>1498</v>
      </c>
      <c r="D59" s="15" t="str">
        <f aca="false">IF(ISNUMBER(MATCH(B59,Pages!$B$2:$B$98,0)),"Yes","Check")</f>
        <v>Yes</v>
      </c>
    </row>
    <row r="60" customFormat="false" ht="15" hidden="false" customHeight="false" outlineLevel="0" collapsed="false">
      <c r="A60" s="15" t="s">
        <v>183</v>
      </c>
      <c r="B60" s="15" t="s">
        <v>783</v>
      </c>
      <c r="C60" s="15" t="s">
        <v>1498</v>
      </c>
      <c r="D60" s="15" t="str">
        <f aca="false">IF(ISNUMBER(MATCH(B60,Pages!$B$2:$B$98,0)),"Yes","Check")</f>
        <v>Yes</v>
      </c>
    </row>
    <row r="61" customFormat="false" ht="15" hidden="false" customHeight="false" outlineLevel="0" collapsed="false">
      <c r="A61" s="15" t="s">
        <v>183</v>
      </c>
      <c r="B61" s="15" t="s">
        <v>522</v>
      </c>
      <c r="C61" s="15" t="s">
        <v>1498</v>
      </c>
      <c r="D61" s="15" t="str">
        <f aca="false">IF(ISNUMBER(MATCH(B61,Pages!$B$2:$B$98,0)),"Yes","Check")</f>
        <v>Yes</v>
      </c>
    </row>
    <row r="62" customFormat="false" ht="15" hidden="false" customHeight="false" outlineLevel="0" collapsed="false">
      <c r="A62" s="15" t="s">
        <v>183</v>
      </c>
      <c r="B62" s="15" t="s">
        <v>977</v>
      </c>
      <c r="C62" s="15" t="s">
        <v>1498</v>
      </c>
      <c r="D62" s="15" t="str">
        <f aca="false">IF(ISNUMBER(MATCH(B62,Pages!$B$2:$B$98,0)),"Yes","Check")</f>
        <v>Yes</v>
      </c>
    </row>
    <row r="63" customFormat="false" ht="15" hidden="false" customHeight="false" outlineLevel="0" collapsed="false">
      <c r="A63" s="15" t="s">
        <v>183</v>
      </c>
      <c r="B63" s="15" t="s">
        <v>540</v>
      </c>
      <c r="C63" s="15" t="s">
        <v>1498</v>
      </c>
      <c r="D63" s="15" t="str">
        <f aca="false">IF(ISNUMBER(MATCH(B63,Pages!$B$2:$B$98,0)),"Yes","Check")</f>
        <v>Yes</v>
      </c>
    </row>
    <row r="64" customFormat="false" ht="15" hidden="false" customHeight="false" outlineLevel="0" collapsed="false">
      <c r="A64" s="15" t="s">
        <v>183</v>
      </c>
      <c r="B64" s="15" t="s">
        <v>331</v>
      </c>
      <c r="C64" s="15" t="s">
        <v>1498</v>
      </c>
      <c r="D64" s="15" t="str">
        <f aca="false">IF(ISNUMBER(MATCH(B64,Pages!$B$2:$B$98,0)),"Yes","Check")</f>
        <v>Yes</v>
      </c>
    </row>
    <row r="65" customFormat="false" ht="15" hidden="false" customHeight="false" outlineLevel="0" collapsed="false">
      <c r="A65" s="15" t="s">
        <v>183</v>
      </c>
      <c r="B65" s="15" t="s">
        <v>413</v>
      </c>
      <c r="C65" s="15" t="s">
        <v>1498</v>
      </c>
      <c r="D65" s="15" t="str">
        <f aca="false">IF(ISNUMBER(MATCH(B65,Pages!$B$2:$B$98,0)),"Yes","Check")</f>
        <v>Yes</v>
      </c>
    </row>
    <row r="66" customFormat="false" ht="15" hidden="false" customHeight="false" outlineLevel="0" collapsed="false">
      <c r="A66" s="15" t="s">
        <v>183</v>
      </c>
      <c r="B66" s="15" t="s">
        <v>340</v>
      </c>
      <c r="C66" s="15" t="s">
        <v>1498</v>
      </c>
      <c r="D66" s="15" t="str">
        <f aca="false">IF(ISNUMBER(MATCH(B66,Pages!$B$2:$B$98,0)),"Yes","Check")</f>
        <v>Yes</v>
      </c>
    </row>
    <row r="67" customFormat="false" ht="15" hidden="false" customHeight="false" outlineLevel="0" collapsed="false">
      <c r="A67" s="15" t="s">
        <v>183</v>
      </c>
      <c r="B67" s="15" t="s">
        <v>368</v>
      </c>
      <c r="C67" s="15" t="s">
        <v>1498</v>
      </c>
      <c r="D67" s="15" t="str">
        <f aca="false">IF(ISNUMBER(MATCH(B67,Pages!$B$2:$B$98,0)),"Yes","Check")</f>
        <v>Yes</v>
      </c>
    </row>
    <row r="68" customFormat="false" ht="15" hidden="false" customHeight="false" outlineLevel="0" collapsed="false">
      <c r="A68" s="15" t="s">
        <v>183</v>
      </c>
      <c r="B68" s="15" t="s">
        <v>731</v>
      </c>
      <c r="C68" s="15" t="s">
        <v>1498</v>
      </c>
      <c r="D68" s="15" t="str">
        <f aca="false">IF(ISNUMBER(MATCH(B68,Pages!$B$2:$B$98,0)),"Yes","Check")</f>
        <v>Yes</v>
      </c>
    </row>
    <row r="69" customFormat="false" ht="15" hidden="false" customHeight="false" outlineLevel="0" collapsed="false">
      <c r="A69" s="15" t="s">
        <v>183</v>
      </c>
      <c r="B69" s="15" t="s">
        <v>450</v>
      </c>
      <c r="C69" s="15" t="s">
        <v>1498</v>
      </c>
      <c r="D69" s="15" t="str">
        <f aca="false">IF(ISNUMBER(MATCH(B69,Pages!$B$2:$B$98,0)),"Yes","Check")</f>
        <v>Yes</v>
      </c>
    </row>
    <row r="70" customFormat="false" ht="15" hidden="false" customHeight="false" outlineLevel="0" collapsed="false">
      <c r="A70" s="15" t="s">
        <v>183</v>
      </c>
      <c r="B70" s="15" t="s">
        <v>377</v>
      </c>
      <c r="C70" s="15" t="s">
        <v>1498</v>
      </c>
      <c r="D70" s="15" t="str">
        <f aca="false">IF(ISNUMBER(MATCH(B70,Pages!$B$2:$B$98,0)),"Yes","Check")</f>
        <v>Yes</v>
      </c>
    </row>
    <row r="71" customFormat="false" ht="15" hidden="false" customHeight="false" outlineLevel="0" collapsed="false">
      <c r="A71" s="15" t="s">
        <v>183</v>
      </c>
      <c r="B71" s="15" t="s">
        <v>441</v>
      </c>
      <c r="C71" s="15" t="s">
        <v>1498</v>
      </c>
      <c r="D71" s="15" t="str">
        <f aca="false">IF(ISNUMBER(MATCH(B71,Pages!$B$2:$B$98,0)),"Yes","Check")</f>
        <v>Yes</v>
      </c>
    </row>
    <row r="72" customFormat="false" ht="15" hidden="false" customHeight="false" outlineLevel="0" collapsed="false">
      <c r="A72" s="15" t="s">
        <v>183</v>
      </c>
      <c r="B72" s="15" t="s">
        <v>386</v>
      </c>
      <c r="C72" s="15" t="s">
        <v>1498</v>
      </c>
      <c r="D72" s="15" t="str">
        <f aca="false">IF(ISNUMBER(MATCH(B72,Pages!$B$2:$B$98,0)),"Yes","Check")</f>
        <v>Yes</v>
      </c>
    </row>
    <row r="73" customFormat="false" ht="15" hidden="false" customHeight="false" outlineLevel="0" collapsed="false">
      <c r="A73" s="15" t="s">
        <v>183</v>
      </c>
      <c r="B73" s="15" t="s">
        <v>766</v>
      </c>
      <c r="C73" s="15" t="s">
        <v>1498</v>
      </c>
      <c r="D73" s="15" t="str">
        <f aca="false">IF(ISNUMBER(MATCH(B73,Pages!$B$2:$B$98,0)),"Yes","Check")</f>
        <v>Yes</v>
      </c>
    </row>
    <row r="74" customFormat="false" ht="15" hidden="false" customHeight="false" outlineLevel="0" collapsed="false">
      <c r="A74" s="15" t="s">
        <v>183</v>
      </c>
      <c r="B74" s="15" t="s">
        <v>757</v>
      </c>
      <c r="C74" s="15" t="s">
        <v>1498</v>
      </c>
      <c r="D74" s="15" t="str">
        <f aca="false">IF(ISNUMBER(MATCH(B74,Pages!$B$2:$B$98,0)),"Yes","Check")</f>
        <v>Yes</v>
      </c>
    </row>
    <row r="75" customFormat="false" ht="15" hidden="false" customHeight="false" outlineLevel="0" collapsed="false">
      <c r="A75" s="15" t="s">
        <v>183</v>
      </c>
      <c r="B75" s="15" t="s">
        <v>125</v>
      </c>
      <c r="C75" s="15" t="s">
        <v>1498</v>
      </c>
      <c r="D75" s="15" t="str">
        <f aca="false">IF(ISNUMBER(MATCH(B75,Pages!$B$2:$B$98,0)),"Yes","Check")</f>
        <v>Yes</v>
      </c>
    </row>
    <row r="76" customFormat="false" ht="15" hidden="false" customHeight="false" outlineLevel="0" collapsed="false">
      <c r="A76" s="15" t="s">
        <v>183</v>
      </c>
      <c r="B76" s="15" t="s">
        <v>459</v>
      </c>
      <c r="C76" s="15" t="s">
        <v>1498</v>
      </c>
      <c r="D76" s="15" t="str">
        <f aca="false">IF(ISNUMBER(MATCH(B76,Pages!$B$2:$B$98,0)),"Yes","Check")</f>
        <v>Yes</v>
      </c>
    </row>
    <row r="77" customFormat="false" ht="15" hidden="false" customHeight="false" outlineLevel="0" collapsed="false">
      <c r="A77" s="15" t="s">
        <v>183</v>
      </c>
      <c r="B77" s="15" t="s">
        <v>267</v>
      </c>
      <c r="C77" s="15" t="s">
        <v>1498</v>
      </c>
      <c r="D77" s="15" t="str">
        <f aca="false">IF(ISNUMBER(MATCH(B77,Pages!$B$2:$B$98,0)),"Yes","Check")</f>
        <v>Yes</v>
      </c>
    </row>
    <row r="78" customFormat="false" ht="15" hidden="false" customHeight="false" outlineLevel="0" collapsed="false">
      <c r="A78" s="15" t="s">
        <v>183</v>
      </c>
      <c r="B78" s="15" t="s">
        <v>926</v>
      </c>
      <c r="C78" s="15" t="s">
        <v>1498</v>
      </c>
      <c r="D78" s="15" t="str">
        <f aca="false">IF(ISNUMBER(MATCH(B78,Pages!$B$2:$B$98,0)),"Yes","Check")</f>
        <v>Yes</v>
      </c>
    </row>
    <row r="79" customFormat="false" ht="15" hidden="false" customHeight="false" outlineLevel="0" collapsed="false">
      <c r="A79" s="15" t="s">
        <v>183</v>
      </c>
      <c r="B79" s="15" t="s">
        <v>504</v>
      </c>
      <c r="C79" s="15" t="s">
        <v>1498</v>
      </c>
      <c r="D79" s="15" t="str">
        <f aca="false">IF(ISNUMBER(MATCH(B79,Pages!$B$2:$B$98,0)),"Yes","Check")</f>
        <v>Yes</v>
      </c>
    </row>
    <row r="80" customFormat="false" ht="15" hidden="false" customHeight="false" outlineLevel="0" collapsed="false">
      <c r="A80" s="15" t="s">
        <v>183</v>
      </c>
      <c r="B80" s="15" t="s">
        <v>934</v>
      </c>
      <c r="C80" s="15" t="s">
        <v>1498</v>
      </c>
      <c r="D80" s="15" t="str">
        <f aca="false">IF(ISNUMBER(MATCH(B80,Pages!$B$2:$B$98,0)),"Yes","Check")</f>
        <v>Yes</v>
      </c>
    </row>
    <row r="81" customFormat="false" ht="15" hidden="false" customHeight="false" outlineLevel="0" collapsed="false">
      <c r="A81" s="15" t="s">
        <v>183</v>
      </c>
      <c r="B81" s="15" t="s">
        <v>531</v>
      </c>
      <c r="C81" s="15" t="s">
        <v>1498</v>
      </c>
      <c r="D81" s="15" t="str">
        <f aca="false">IF(ISNUMBER(MATCH(B81,Pages!$B$2:$B$98,0)),"Yes","Check")</f>
        <v>Yes</v>
      </c>
    </row>
    <row r="82" customFormat="false" ht="15" hidden="false" customHeight="false" outlineLevel="0" collapsed="false">
      <c r="A82" s="15" t="s">
        <v>183</v>
      </c>
      <c r="B82" s="15" t="s">
        <v>549</v>
      </c>
      <c r="C82" s="15" t="s">
        <v>1498</v>
      </c>
      <c r="D82" s="15" t="str">
        <f aca="false">IF(ISNUMBER(MATCH(B82,Pages!$B$2:$B$98,0)),"Yes","Check")</f>
        <v>Yes</v>
      </c>
    </row>
    <row r="83" customFormat="false" ht="15" hidden="false" customHeight="false" outlineLevel="0" collapsed="false">
      <c r="A83" s="15" t="s">
        <v>183</v>
      </c>
      <c r="B83" s="15" t="s">
        <v>810</v>
      </c>
      <c r="C83" s="15" t="s">
        <v>1498</v>
      </c>
      <c r="D83" s="15" t="str">
        <f aca="false">IF(ISNUMBER(MATCH(B83,Pages!$B$2:$B$98,0)),"Yes","Check")</f>
        <v>Yes</v>
      </c>
    </row>
    <row r="84" customFormat="false" ht="15" hidden="false" customHeight="false" outlineLevel="0" collapsed="false">
      <c r="A84" s="15" t="s">
        <v>183</v>
      </c>
      <c r="B84" s="15" t="s">
        <v>855</v>
      </c>
      <c r="C84" s="15" t="s">
        <v>1498</v>
      </c>
      <c r="D84" s="15" t="str">
        <f aca="false">IF(ISNUMBER(MATCH(B84,Pages!$B$2:$B$98,0)),"Yes","Check")</f>
        <v>Yes</v>
      </c>
    </row>
    <row r="85" customFormat="false" ht="15" hidden="false" customHeight="false" outlineLevel="0" collapsed="false">
      <c r="A85" s="15" t="s">
        <v>183</v>
      </c>
      <c r="B85" s="15" t="s">
        <v>138</v>
      </c>
      <c r="C85" s="15" t="s">
        <v>1498</v>
      </c>
      <c r="D85" s="15" t="str">
        <f aca="false">IF(ISNUMBER(MATCH(B85,Pages!$B$2:$B$98,0)),"Yes","Check")</f>
        <v>Yes</v>
      </c>
    </row>
    <row r="86" customFormat="false" ht="15" hidden="false" customHeight="false" outlineLevel="0" collapsed="false">
      <c r="A86" s="15" t="s">
        <v>183</v>
      </c>
      <c r="B86" s="15" t="s">
        <v>422</v>
      </c>
      <c r="C86" s="15" t="s">
        <v>1498</v>
      </c>
      <c r="D86" s="15" t="str">
        <f aca="false">IF(ISNUMBER(MATCH(B86,Pages!$B$2:$B$98,0)),"Yes","Check")</f>
        <v>Yes</v>
      </c>
    </row>
    <row r="87" customFormat="false" ht="15" hidden="false" customHeight="false" outlineLevel="0" collapsed="false">
      <c r="A87" s="15" t="s">
        <v>183</v>
      </c>
      <c r="B87" s="15" t="s">
        <v>881</v>
      </c>
      <c r="C87" s="15" t="s">
        <v>1498</v>
      </c>
      <c r="D87" s="15" t="str">
        <f aca="false">IF(ISNUMBER(MATCH(B87,Pages!$B$2:$B$98,0)),"Yes","Check")</f>
        <v>Yes</v>
      </c>
    </row>
    <row r="88" customFormat="false" ht="15" hidden="false" customHeight="false" outlineLevel="0" collapsed="false">
      <c r="A88" s="15" t="s">
        <v>183</v>
      </c>
      <c r="B88" s="15" t="s">
        <v>705</v>
      </c>
      <c r="C88" s="15" t="s">
        <v>1498</v>
      </c>
      <c r="D88" s="15" t="str">
        <f aca="false">IF(ISNUMBER(MATCH(B88,Pages!$B$2:$B$98,0)),"Yes","Check")</f>
        <v>Yes</v>
      </c>
    </row>
    <row r="89" customFormat="false" ht="15" hidden="false" customHeight="false" outlineLevel="0" collapsed="false">
      <c r="A89" s="15" t="s">
        <v>183</v>
      </c>
      <c r="B89" s="15" t="s">
        <v>349</v>
      </c>
      <c r="C89" s="15" t="s">
        <v>1498</v>
      </c>
      <c r="D89" s="15" t="str">
        <f aca="false">IF(ISNUMBER(MATCH(B89,Pages!$B$2:$B$98,0)),"Yes","Check")</f>
        <v>Yes</v>
      </c>
    </row>
    <row r="90" customFormat="false" ht="15" hidden="false" customHeight="false" outlineLevel="0" collapsed="false">
      <c r="A90" s="15" t="s">
        <v>183</v>
      </c>
      <c r="B90" s="15" t="s">
        <v>917</v>
      </c>
      <c r="C90" s="15" t="s">
        <v>1498</v>
      </c>
      <c r="D90" s="15" t="str">
        <f aca="false">IF(ISNUMBER(MATCH(B90,Pages!$B$2:$B$98,0)),"Yes","Check")</f>
        <v>Yes</v>
      </c>
    </row>
    <row r="91" customFormat="false" ht="15" hidden="false" customHeight="false" outlineLevel="0" collapsed="false">
      <c r="A91" s="15" t="s">
        <v>183</v>
      </c>
      <c r="B91" s="15" t="s">
        <v>908</v>
      </c>
      <c r="C91" s="15" t="s">
        <v>1498</v>
      </c>
      <c r="D91" s="15" t="str">
        <f aca="false">IF(ISNUMBER(MATCH(B91,Pages!$B$2:$B$98,0)),"Yes","Check")</f>
        <v>Yes</v>
      </c>
    </row>
    <row r="92" customFormat="false" ht="15" hidden="false" customHeight="false" outlineLevel="0" collapsed="false">
      <c r="A92" s="15" t="s">
        <v>183</v>
      </c>
      <c r="B92" s="15" t="s">
        <v>116</v>
      </c>
      <c r="C92" s="15" t="s">
        <v>1483</v>
      </c>
      <c r="D92" s="15" t="str">
        <f aca="false">IF(ISNUMBER(MATCH(B92,Pages!$B$2:$B$98,0)),"Yes","Check")</f>
        <v>Yes</v>
      </c>
    </row>
    <row r="93" customFormat="false" ht="15" hidden="false" customHeight="false" outlineLevel="0" collapsed="false">
      <c r="A93" s="15" t="s">
        <v>125</v>
      </c>
      <c r="B93" s="15" t="s">
        <v>116</v>
      </c>
      <c r="C93" s="15" t="s">
        <v>1499</v>
      </c>
      <c r="D93" s="15" t="str">
        <f aca="false">IF(ISNUMBER(MATCH(B93,Pages!$B$2:$B$98,0)),"Yes","Check")</f>
        <v>Yes</v>
      </c>
    </row>
    <row r="94" customFormat="false" ht="15" hidden="false" customHeight="false" outlineLevel="0" collapsed="false">
      <c r="A94" s="15" t="s">
        <v>125</v>
      </c>
      <c r="B94" s="15" t="s">
        <v>331</v>
      </c>
      <c r="C94" s="15" t="s">
        <v>1500</v>
      </c>
      <c r="D94" s="15" t="str">
        <f aca="false">IF(ISNUMBER(MATCH(B94,Pages!$B$2:$B$98,0)),"Yes","Check")</f>
        <v>Yes</v>
      </c>
    </row>
    <row r="95" customFormat="false" ht="15" hidden="false" customHeight="false" outlineLevel="0" collapsed="false">
      <c r="A95" s="15" t="s">
        <v>125</v>
      </c>
      <c r="B95" s="15" t="s">
        <v>792</v>
      </c>
      <c r="C95" s="15" t="s">
        <v>1501</v>
      </c>
      <c r="D95" s="15" t="str">
        <f aca="false">IF(ISNUMBER(MATCH(B95,Pages!$B$2:$B$98,0)),"Yes","Check")</f>
        <v>Yes</v>
      </c>
    </row>
    <row r="96" customFormat="false" ht="15" hidden="false" customHeight="false" outlineLevel="0" collapsed="false">
      <c r="A96" s="15" t="s">
        <v>125</v>
      </c>
      <c r="B96" s="15" t="s">
        <v>195</v>
      </c>
      <c r="C96" s="15" t="s">
        <v>1502</v>
      </c>
      <c r="D96" s="15" t="str">
        <f aca="false">IF(ISNUMBER(MATCH(B96,Pages!$B$2:$B$98,0)),"Yes","Check")</f>
        <v>Yes</v>
      </c>
    </row>
    <row r="97" customFormat="false" ht="15" hidden="false" customHeight="false" outlineLevel="0" collapsed="false">
      <c r="A97" s="15" t="s">
        <v>125</v>
      </c>
      <c r="B97" s="15" t="s">
        <v>881</v>
      </c>
      <c r="C97" s="15" t="s">
        <v>1503</v>
      </c>
      <c r="D97" s="15" t="str">
        <f aca="false">IF(ISNUMBER(MATCH(B97,Pages!$B$2:$B$98,0)),"Yes","Check")</f>
        <v>Yes</v>
      </c>
    </row>
    <row r="98" customFormat="false" ht="15" hidden="false" customHeight="false" outlineLevel="0" collapsed="false">
      <c r="A98" s="15" t="s">
        <v>125</v>
      </c>
      <c r="B98" s="15" t="s">
        <v>943</v>
      </c>
      <c r="C98" s="15" t="s">
        <v>1504</v>
      </c>
      <c r="D98" s="15" t="str">
        <f aca="false">IF(ISNUMBER(MATCH(B98,Pages!$B$2:$B$98,0)),"Yes","Check")</f>
        <v>Yes</v>
      </c>
    </row>
    <row r="99" customFormat="false" ht="15" hidden="false" customHeight="false" outlineLevel="0" collapsed="false">
      <c r="A99" s="15" t="s">
        <v>125</v>
      </c>
      <c r="B99" s="15" t="s">
        <v>450</v>
      </c>
      <c r="C99" s="15" t="s">
        <v>1482</v>
      </c>
      <c r="D99" s="15" t="str">
        <f aca="false">IF(ISNUMBER(MATCH(B99,Pages!$B$2:$B$98,0)),"Yes","Check")</f>
        <v>Yes</v>
      </c>
    </row>
    <row r="100" customFormat="false" ht="15" hidden="false" customHeight="false" outlineLevel="0" collapsed="false">
      <c r="A100" s="15" t="s">
        <v>125</v>
      </c>
      <c r="B100" s="15" t="s">
        <v>431</v>
      </c>
      <c r="C100" s="15" t="s">
        <v>1505</v>
      </c>
      <c r="D100" s="15" t="str">
        <f aca="false">IF(ISNUMBER(MATCH(B100,Pages!$B$2:$B$98,0)),"Yes","Check")</f>
        <v>Yes</v>
      </c>
    </row>
    <row r="101" customFormat="false" ht="15" hidden="false" customHeight="false" outlineLevel="0" collapsed="false">
      <c r="A101" s="15" t="s">
        <v>125</v>
      </c>
      <c r="B101" s="15" t="s">
        <v>183</v>
      </c>
      <c r="C101" s="15" t="s">
        <v>1506</v>
      </c>
      <c r="D101" s="15" t="str">
        <f aca="false">IF(ISNUMBER(MATCH(B101,Pages!$B$2:$B$98,0)),"Yes","Check")</f>
        <v>Yes</v>
      </c>
    </row>
    <row r="102" customFormat="false" ht="15" hidden="false" customHeight="false" outlineLevel="0" collapsed="false">
      <c r="A102" s="15" t="s">
        <v>125</v>
      </c>
      <c r="B102" s="15" t="s">
        <v>116</v>
      </c>
      <c r="C102" s="15" t="s">
        <v>1483</v>
      </c>
      <c r="D102" s="15" t="str">
        <f aca="false">IF(ISNUMBER(MATCH(B102,Pages!$B$2:$B$98,0)),"Yes","Check")</f>
        <v>Yes</v>
      </c>
    </row>
    <row r="103" customFormat="false" ht="15" hidden="false" customHeight="false" outlineLevel="0" collapsed="false">
      <c r="A103" s="15" t="s">
        <v>155</v>
      </c>
      <c r="B103" s="15" t="s">
        <v>967</v>
      </c>
      <c r="C103" s="15" t="s">
        <v>1507</v>
      </c>
      <c r="D103" s="15" t="str">
        <f aca="false">IF(ISNUMBER(MATCH(B103,Pages!$B$2:$B$98,0)),"Yes","Check")</f>
        <v>Yes</v>
      </c>
    </row>
    <row r="104" customFormat="false" ht="15" hidden="false" customHeight="false" outlineLevel="0" collapsed="false">
      <c r="A104" s="15" t="s">
        <v>155</v>
      </c>
      <c r="B104" s="15" t="s">
        <v>977</v>
      </c>
      <c r="C104" s="15" t="s">
        <v>1508</v>
      </c>
      <c r="D104" s="15" t="str">
        <f aca="false">IF(ISNUMBER(MATCH(B104,Pages!$B$2:$B$98,0)),"Yes","Check")</f>
        <v>Yes</v>
      </c>
    </row>
    <row r="105" customFormat="false" ht="15" hidden="false" customHeight="false" outlineLevel="0" collapsed="false">
      <c r="A105" s="15" t="s">
        <v>155</v>
      </c>
      <c r="B105" s="15" t="s">
        <v>792</v>
      </c>
      <c r="C105" s="15" t="s">
        <v>1509</v>
      </c>
      <c r="D105" s="15" t="str">
        <f aca="false">IF(ISNUMBER(MATCH(B105,Pages!$B$2:$B$98,0)),"Yes","Check")</f>
        <v>Yes</v>
      </c>
    </row>
    <row r="106" customFormat="false" ht="15" hidden="false" customHeight="false" outlineLevel="0" collapsed="false">
      <c r="A106" s="15" t="s">
        <v>155</v>
      </c>
      <c r="B106" s="15" t="s">
        <v>431</v>
      </c>
      <c r="C106" s="15" t="s">
        <v>1510</v>
      </c>
      <c r="D106" s="15" t="str">
        <f aca="false">IF(ISNUMBER(MATCH(B106,Pages!$B$2:$B$98,0)),"Yes","Check")</f>
        <v>Yes</v>
      </c>
    </row>
    <row r="107" customFormat="false" ht="35.05" hidden="false" customHeight="false" outlineLevel="0" collapsed="false">
      <c r="A107" s="15" t="s">
        <v>155</v>
      </c>
      <c r="B107" s="15" t="s">
        <v>934</v>
      </c>
      <c r="C107" s="15" t="s">
        <v>1511</v>
      </c>
      <c r="D107" s="15" t="str">
        <f aca="false">IF(ISNUMBER(MATCH(B107,Pages!$B$2:$B$98,0)),"Yes","Check")</f>
        <v>Yes</v>
      </c>
    </row>
    <row r="108" customFormat="false" ht="46.25" hidden="false" customHeight="false" outlineLevel="0" collapsed="false">
      <c r="A108" s="15" t="s">
        <v>155</v>
      </c>
      <c r="B108" s="15" t="s">
        <v>422</v>
      </c>
      <c r="C108" s="15" t="s">
        <v>1512</v>
      </c>
      <c r="D108" s="15" t="str">
        <f aca="false">IF(ISNUMBER(MATCH(B108,Pages!$B$2:$B$98,0)),"Yes","Check")</f>
        <v>Yes</v>
      </c>
    </row>
    <row r="109" customFormat="false" ht="46.25" hidden="false" customHeight="false" outlineLevel="0" collapsed="false">
      <c r="A109" s="15" t="s">
        <v>155</v>
      </c>
      <c r="B109" s="15" t="s">
        <v>404</v>
      </c>
      <c r="C109" s="15" t="s">
        <v>1513</v>
      </c>
      <c r="D109" s="15" t="str">
        <f aca="false">IF(ISNUMBER(MATCH(B109,Pages!$B$2:$B$98,0)),"Yes","Check")</f>
        <v>Yes</v>
      </c>
    </row>
    <row r="110" customFormat="false" ht="46.25" hidden="false" customHeight="false" outlineLevel="0" collapsed="false">
      <c r="A110" s="15" t="s">
        <v>155</v>
      </c>
      <c r="B110" s="15" t="s">
        <v>386</v>
      </c>
      <c r="C110" s="15" t="s">
        <v>1514</v>
      </c>
      <c r="D110" s="15" t="str">
        <f aca="false">IF(ISNUMBER(MATCH(B110,Pages!$B$2:$B$98,0)),"Yes","Check")</f>
        <v>Yes</v>
      </c>
    </row>
    <row r="111" customFormat="false" ht="46.25" hidden="false" customHeight="false" outlineLevel="0" collapsed="false">
      <c r="A111" s="15" t="s">
        <v>155</v>
      </c>
      <c r="B111" s="15" t="s">
        <v>395</v>
      </c>
      <c r="C111" s="15" t="s">
        <v>1515</v>
      </c>
      <c r="D111" s="15" t="str">
        <f aca="false">IF(ISNUMBER(MATCH(B111,Pages!$B$2:$B$98,0)),"Yes","Check")</f>
        <v>Yes</v>
      </c>
    </row>
    <row r="112" customFormat="false" ht="46.25" hidden="false" customHeight="false" outlineLevel="0" collapsed="false">
      <c r="A112" s="15" t="s">
        <v>155</v>
      </c>
      <c r="B112" s="15" t="s">
        <v>576</v>
      </c>
      <c r="C112" s="15" t="s">
        <v>1516</v>
      </c>
      <c r="D112" s="15" t="str">
        <f aca="false">IF(ISNUMBER(MATCH(B112,Pages!$B$2:$B$98,0)),"Yes","Check")</f>
        <v>Yes</v>
      </c>
    </row>
    <row r="113" customFormat="false" ht="35.05" hidden="false" customHeight="false" outlineLevel="0" collapsed="false">
      <c r="A113" s="15" t="s">
        <v>155</v>
      </c>
      <c r="B113" s="15" t="s">
        <v>340</v>
      </c>
      <c r="C113" s="15" t="s">
        <v>1517</v>
      </c>
      <c r="D113" s="15" t="str">
        <f aca="false">IF(ISNUMBER(MATCH(B113,Pages!$B$2:$B$98,0)),"Yes","Check")</f>
        <v>Yes</v>
      </c>
    </row>
    <row r="114" customFormat="false" ht="46.25" hidden="false" customHeight="false" outlineLevel="0" collapsed="false">
      <c r="A114" s="15" t="s">
        <v>155</v>
      </c>
      <c r="B114" s="15" t="s">
        <v>890</v>
      </c>
      <c r="C114" s="15" t="s">
        <v>1518</v>
      </c>
      <c r="D114" s="15" t="str">
        <f aca="false">IF(ISNUMBER(MATCH(B114,Pages!$B$2:$B$98,0)),"Yes","Check")</f>
        <v>Yes</v>
      </c>
    </row>
    <row r="115" customFormat="false" ht="46.25" hidden="false" customHeight="false" outlineLevel="0" collapsed="false">
      <c r="A115" s="15" t="s">
        <v>155</v>
      </c>
      <c r="B115" s="15" t="s">
        <v>864</v>
      </c>
      <c r="C115" s="15" t="s">
        <v>1519</v>
      </c>
      <c r="D115" s="15" t="str">
        <f aca="false">IF(ISNUMBER(MATCH(B115,Pages!$B$2:$B$98,0)),"Yes","Check")</f>
        <v>Yes</v>
      </c>
    </row>
    <row r="116" customFormat="false" ht="35.05" hidden="false" customHeight="false" outlineLevel="0" collapsed="false">
      <c r="A116" s="15" t="s">
        <v>155</v>
      </c>
      <c r="B116" s="15" t="s">
        <v>277</v>
      </c>
      <c r="C116" s="15" t="s">
        <v>1520</v>
      </c>
      <c r="D116" s="15" t="str">
        <f aca="false">IF(ISNUMBER(MATCH(B116,Pages!$B$2:$B$98,0)),"Yes","Check")</f>
        <v>Yes</v>
      </c>
    </row>
    <row r="117" customFormat="false" ht="46.25" hidden="false" customHeight="false" outlineLevel="0" collapsed="false">
      <c r="A117" s="15" t="s">
        <v>155</v>
      </c>
      <c r="B117" s="15" t="s">
        <v>286</v>
      </c>
      <c r="C117" s="15" t="s">
        <v>1521</v>
      </c>
      <c r="D117" s="15" t="str">
        <f aca="false">IF(ISNUMBER(MATCH(B117,Pages!$B$2:$B$98,0)),"Yes","Check")</f>
        <v>Yes</v>
      </c>
    </row>
    <row r="118" customFormat="false" ht="46.25" hidden="false" customHeight="false" outlineLevel="0" collapsed="false">
      <c r="A118" s="15" t="s">
        <v>155</v>
      </c>
      <c r="B118" s="15" t="s">
        <v>313</v>
      </c>
      <c r="C118" s="15" t="s">
        <v>1522</v>
      </c>
      <c r="D118" s="15" t="str">
        <f aca="false">IF(ISNUMBER(MATCH(B118,Pages!$B$2:$B$98,0)),"Yes","Check")</f>
        <v>Yes</v>
      </c>
    </row>
    <row r="119" customFormat="false" ht="46.25" hidden="false" customHeight="false" outlineLevel="0" collapsed="false">
      <c r="A119" s="15" t="s">
        <v>155</v>
      </c>
      <c r="B119" s="15" t="s">
        <v>246</v>
      </c>
      <c r="C119" s="15" t="s">
        <v>1523</v>
      </c>
      <c r="D119" s="15" t="str">
        <f aca="false">IF(ISNUMBER(MATCH(B119,Pages!$B$2:$B$98,0)),"Yes","Check")</f>
        <v>Yes</v>
      </c>
    </row>
    <row r="120" customFormat="false" ht="46.25" hidden="false" customHeight="false" outlineLevel="0" collapsed="false">
      <c r="A120" s="15" t="s">
        <v>155</v>
      </c>
      <c r="B120" s="15" t="s">
        <v>926</v>
      </c>
      <c r="C120" s="15" t="s">
        <v>1524</v>
      </c>
      <c r="D120" s="15" t="str">
        <f aca="false">IF(ISNUMBER(MATCH(B120,Pages!$B$2:$B$98,0)),"Yes","Check")</f>
        <v>Yes</v>
      </c>
    </row>
    <row r="121" customFormat="false" ht="46.25" hidden="false" customHeight="false" outlineLevel="0" collapsed="false">
      <c r="A121" s="15" t="s">
        <v>155</v>
      </c>
      <c r="B121" s="15" t="s">
        <v>477</v>
      </c>
      <c r="C121" s="15" t="s">
        <v>1525</v>
      </c>
      <c r="D121" s="15" t="str">
        <f aca="false">IF(ISNUMBER(MATCH(B121,Pages!$B$2:$B$98,0)),"Yes","Check")</f>
        <v>Yes</v>
      </c>
    </row>
    <row r="122" customFormat="false" ht="46.25" hidden="false" customHeight="false" outlineLevel="0" collapsed="false">
      <c r="A122" s="15" t="s">
        <v>155</v>
      </c>
      <c r="B122" s="15" t="s">
        <v>486</v>
      </c>
      <c r="C122" s="15" t="s">
        <v>1526</v>
      </c>
      <c r="D122" s="15" t="str">
        <f aca="false">IF(ISNUMBER(MATCH(B122,Pages!$B$2:$B$98,0)),"Yes","Check")</f>
        <v>Yes</v>
      </c>
    </row>
    <row r="123" customFormat="false" ht="46.25" hidden="false" customHeight="false" outlineLevel="0" collapsed="false">
      <c r="A123" s="15" t="s">
        <v>155</v>
      </c>
      <c r="B123" s="15" t="s">
        <v>504</v>
      </c>
      <c r="C123" s="15" t="s">
        <v>1527</v>
      </c>
      <c r="D123" s="15" t="str">
        <f aca="false">IF(ISNUMBER(MATCH(B123,Pages!$B$2:$B$98,0)),"Yes","Check")</f>
        <v>Yes</v>
      </c>
    </row>
    <row r="124" customFormat="false" ht="46.25" hidden="false" customHeight="false" outlineLevel="0" collapsed="false">
      <c r="A124" s="15" t="s">
        <v>155</v>
      </c>
      <c r="B124" s="15" t="s">
        <v>549</v>
      </c>
      <c r="C124" s="15" t="s">
        <v>1528</v>
      </c>
      <c r="D124" s="15" t="str">
        <f aca="false">IF(ISNUMBER(MATCH(B124,Pages!$B$2:$B$98,0)),"Yes","Check")</f>
        <v>Yes</v>
      </c>
    </row>
    <row r="125" customFormat="false" ht="46.25" hidden="false" customHeight="false" outlineLevel="0" collapsed="false">
      <c r="A125" s="15" t="s">
        <v>155</v>
      </c>
      <c r="B125" s="15" t="s">
        <v>322</v>
      </c>
      <c r="C125" s="15" t="s">
        <v>1529</v>
      </c>
      <c r="D125" s="15" t="str">
        <f aca="false">IF(ISNUMBER(MATCH(B125,Pages!$B$2:$B$98,0)),"Yes","Check")</f>
        <v>Yes</v>
      </c>
    </row>
    <row r="126" customFormat="false" ht="46.25" hidden="false" customHeight="false" outlineLevel="0" collapsed="false">
      <c r="A126" s="15" t="s">
        <v>155</v>
      </c>
      <c r="B126" s="15" t="s">
        <v>368</v>
      </c>
      <c r="C126" s="15" t="s">
        <v>1530</v>
      </c>
      <c r="D126" s="15" t="str">
        <f aca="false">IF(ISNUMBER(MATCH(B126,Pages!$B$2:$B$98,0)),"Yes","Check")</f>
        <v>Yes</v>
      </c>
    </row>
    <row r="127" customFormat="false" ht="46.25" hidden="false" customHeight="false" outlineLevel="0" collapsed="false">
      <c r="A127" s="15" t="s">
        <v>155</v>
      </c>
      <c r="B127" s="15" t="s">
        <v>766</v>
      </c>
      <c r="C127" s="15" t="s">
        <v>1531</v>
      </c>
      <c r="D127" s="15" t="str">
        <f aca="false">IF(ISNUMBER(MATCH(B127,Pages!$B$2:$B$98,0)),"Yes","Check")</f>
        <v>Yes</v>
      </c>
    </row>
    <row r="128" customFormat="false" ht="46.25" hidden="false" customHeight="false" outlineLevel="0" collapsed="false">
      <c r="A128" s="15" t="s">
        <v>155</v>
      </c>
      <c r="B128" s="15" t="s">
        <v>740</v>
      </c>
      <c r="C128" s="15" t="s">
        <v>1532</v>
      </c>
      <c r="D128" s="15" t="str">
        <f aca="false">IF(ISNUMBER(MATCH(B128,Pages!$B$2:$B$98,0)),"Yes","Check")</f>
        <v>Yes</v>
      </c>
    </row>
    <row r="129" customFormat="false" ht="46.25" hidden="false" customHeight="false" outlineLevel="0" collapsed="false">
      <c r="A129" s="15" t="s">
        <v>155</v>
      </c>
      <c r="B129" s="15" t="s">
        <v>377</v>
      </c>
      <c r="C129" s="15" t="s">
        <v>1533</v>
      </c>
      <c r="D129" s="15" t="str">
        <f aca="false">IF(ISNUMBER(MATCH(B129,Pages!$B$2:$B$98,0)),"Yes","Check")</f>
        <v>Yes</v>
      </c>
    </row>
    <row r="130" customFormat="false" ht="46.25" hidden="false" customHeight="false" outlineLevel="0" collapsed="false">
      <c r="A130" s="15" t="s">
        <v>155</v>
      </c>
      <c r="B130" s="15" t="s">
        <v>967</v>
      </c>
      <c r="C130" s="15" t="s">
        <v>1534</v>
      </c>
      <c r="D130" s="15" t="str">
        <f aca="false">IF(ISNUMBER(MATCH(B130,Pages!$B$2:$B$98,0)),"Yes","Check")</f>
        <v>Yes</v>
      </c>
    </row>
    <row r="131" customFormat="false" ht="46.25" hidden="false" customHeight="false" outlineLevel="0" collapsed="false">
      <c r="A131" s="15" t="s">
        <v>155</v>
      </c>
      <c r="B131" s="15" t="s">
        <v>688</v>
      </c>
      <c r="C131" s="15" t="s">
        <v>1535</v>
      </c>
      <c r="D131" s="15" t="str">
        <f aca="false">IF(ISNUMBER(MATCH(B131,Pages!$B$2:$B$98,0)),"Yes","Check")</f>
        <v>Yes</v>
      </c>
    </row>
    <row r="132" customFormat="false" ht="46.25" hidden="false" customHeight="false" outlineLevel="0" collapsed="false">
      <c r="A132" s="15" t="s">
        <v>155</v>
      </c>
      <c r="B132" s="15" t="s">
        <v>522</v>
      </c>
      <c r="C132" s="15" t="s">
        <v>1536</v>
      </c>
      <c r="D132" s="15" t="str">
        <f aca="false">IF(ISNUMBER(MATCH(B132,Pages!$B$2:$B$98,0)),"Yes","Check")</f>
        <v>Yes</v>
      </c>
    </row>
    <row r="133" customFormat="false" ht="46.25" hidden="false" customHeight="false" outlineLevel="0" collapsed="false">
      <c r="A133" s="15" t="s">
        <v>155</v>
      </c>
      <c r="B133" s="15" t="s">
        <v>977</v>
      </c>
      <c r="C133" s="15" t="s">
        <v>1537</v>
      </c>
      <c r="D133" s="15" t="str">
        <f aca="false">IF(ISNUMBER(MATCH(B133,Pages!$B$2:$B$98,0)),"Yes","Check")</f>
        <v>Yes</v>
      </c>
    </row>
    <row r="134" customFormat="false" ht="35.05" hidden="false" customHeight="false" outlineLevel="0" collapsed="false">
      <c r="A134" s="15" t="s">
        <v>155</v>
      </c>
      <c r="B134" s="15" t="s">
        <v>783</v>
      </c>
      <c r="C134" s="15" t="s">
        <v>1538</v>
      </c>
      <c r="D134" s="15" t="str">
        <f aca="false">IF(ISNUMBER(MATCH(B134,Pages!$B$2:$B$98,0)),"Yes","Check")</f>
        <v>Yes</v>
      </c>
    </row>
    <row r="135" customFormat="false" ht="46.25" hidden="false" customHeight="false" outlineLevel="0" collapsed="false">
      <c r="A135" s="15" t="s">
        <v>155</v>
      </c>
      <c r="B135" s="15" t="s">
        <v>855</v>
      </c>
      <c r="C135" s="15" t="s">
        <v>1539</v>
      </c>
      <c r="D135" s="15" t="str">
        <f aca="false">IF(ISNUMBER(MATCH(B135,Pages!$B$2:$B$98,0)),"Yes","Check")</f>
        <v>Yes</v>
      </c>
    </row>
    <row r="136" customFormat="false" ht="46.25" hidden="false" customHeight="false" outlineLevel="0" collapsed="false">
      <c r="A136" s="15" t="s">
        <v>155</v>
      </c>
      <c r="B136" s="15" t="s">
        <v>267</v>
      </c>
      <c r="C136" s="15" t="s">
        <v>1540</v>
      </c>
      <c r="D136" s="15" t="str">
        <f aca="false">IF(ISNUMBER(MATCH(B136,Pages!$B$2:$B$98,0)),"Yes","Check")</f>
        <v>Yes</v>
      </c>
    </row>
    <row r="137" customFormat="false" ht="46.25" hidden="false" customHeight="false" outlineLevel="0" collapsed="false">
      <c r="A137" s="15" t="s">
        <v>155</v>
      </c>
      <c r="B137" s="15" t="s">
        <v>513</v>
      </c>
      <c r="C137" s="15" t="s">
        <v>1541</v>
      </c>
      <c r="D137" s="15" t="str">
        <f aca="false">IF(ISNUMBER(MATCH(B137,Pages!$B$2:$B$98,0)),"Yes","Check")</f>
        <v>Yes</v>
      </c>
    </row>
    <row r="138" customFormat="false" ht="46.25" hidden="false" customHeight="false" outlineLevel="0" collapsed="false">
      <c r="A138" s="15" t="s">
        <v>155</v>
      </c>
      <c r="B138" s="15" t="s">
        <v>662</v>
      </c>
      <c r="C138" s="15" t="s">
        <v>1542</v>
      </c>
      <c r="D138" s="15" t="str">
        <f aca="false">IF(ISNUMBER(MATCH(B138,Pages!$B$2:$B$98,0)),"Yes","Check")</f>
        <v>Yes</v>
      </c>
    </row>
    <row r="139" customFormat="false" ht="46.25" hidden="false" customHeight="false" outlineLevel="0" collapsed="false">
      <c r="A139" s="15" t="s">
        <v>155</v>
      </c>
      <c r="B139" s="15" t="s">
        <v>646</v>
      </c>
      <c r="C139" s="15" t="s">
        <v>1543</v>
      </c>
      <c r="D139" s="15" t="str">
        <f aca="false">IF(ISNUMBER(MATCH(B139,Pages!$B$2:$B$98,0)),"Yes","Check")</f>
        <v>Yes</v>
      </c>
    </row>
    <row r="140" customFormat="false" ht="46.25" hidden="false" customHeight="false" outlineLevel="0" collapsed="false">
      <c r="A140" s="15" t="s">
        <v>155</v>
      </c>
      <c r="B140" s="15" t="s">
        <v>654</v>
      </c>
      <c r="C140" s="15" t="s">
        <v>1544</v>
      </c>
      <c r="D140" s="15" t="str">
        <f aca="false">IF(ISNUMBER(MATCH(B140,Pages!$B$2:$B$98,0)),"Yes","Check")</f>
        <v>Yes</v>
      </c>
    </row>
    <row r="141" customFormat="false" ht="35.05" hidden="false" customHeight="false" outlineLevel="0" collapsed="false">
      <c r="A141" s="15" t="s">
        <v>155</v>
      </c>
      <c r="B141" s="15" t="s">
        <v>495</v>
      </c>
      <c r="C141" s="15" t="s">
        <v>1545</v>
      </c>
      <c r="D141" s="15" t="str">
        <f aca="false">IF(ISNUMBER(MATCH(B141,Pages!$B$2:$B$98,0)),"Yes","Check")</f>
        <v>Yes</v>
      </c>
    </row>
    <row r="142" customFormat="false" ht="46.25" hidden="false" customHeight="false" outlineLevel="0" collapsed="false">
      <c r="A142" s="15" t="s">
        <v>155</v>
      </c>
      <c r="B142" s="15" t="s">
        <v>671</v>
      </c>
      <c r="C142" s="15" t="s">
        <v>1546</v>
      </c>
      <c r="D142" s="15" t="str">
        <f aca="false">IF(ISNUMBER(MATCH(B142,Pages!$B$2:$B$98,0)),"Yes","Check")</f>
        <v>Yes</v>
      </c>
    </row>
    <row r="143" customFormat="false" ht="46.25" hidden="false" customHeight="false" outlineLevel="0" collapsed="false">
      <c r="A143" s="15" t="s">
        <v>155</v>
      </c>
      <c r="B143" s="15" t="s">
        <v>349</v>
      </c>
      <c r="C143" s="15" t="s">
        <v>1547</v>
      </c>
      <c r="D143" s="15" t="str">
        <f aca="false">IF(ISNUMBER(MATCH(B143,Pages!$B$2:$B$98,0)),"Yes","Check")</f>
        <v>Yes</v>
      </c>
    </row>
    <row r="144" customFormat="false" ht="46.25" hidden="false" customHeight="false" outlineLevel="0" collapsed="false">
      <c r="A144" s="15" t="s">
        <v>155</v>
      </c>
      <c r="B144" s="15" t="s">
        <v>873</v>
      </c>
      <c r="C144" s="15" t="s">
        <v>1548</v>
      </c>
      <c r="D144" s="15" t="str">
        <f aca="false">IF(ISNUMBER(MATCH(B144,Pages!$B$2:$B$98,0)),"Yes","Check")</f>
        <v>Yes</v>
      </c>
    </row>
    <row r="145" customFormat="false" ht="46.25" hidden="false" customHeight="false" outlineLevel="0" collapsed="false">
      <c r="A145" s="15" t="s">
        <v>155</v>
      </c>
      <c r="B145" s="15" t="s">
        <v>359</v>
      </c>
      <c r="C145" s="15" t="s">
        <v>1549</v>
      </c>
      <c r="D145" s="15" t="str">
        <f aca="false">IF(ISNUMBER(MATCH(B145,Pages!$B$2:$B$98,0)),"Yes","Check")</f>
        <v>Yes</v>
      </c>
    </row>
    <row r="146" customFormat="false" ht="46.25" hidden="false" customHeight="false" outlineLevel="0" collapsed="false">
      <c r="A146" s="15" t="s">
        <v>155</v>
      </c>
      <c r="B146" s="15" t="s">
        <v>206</v>
      </c>
      <c r="C146" s="15" t="s">
        <v>1550</v>
      </c>
      <c r="D146" s="15" t="str">
        <f aca="false">IF(ISNUMBER(MATCH(B146,Pages!$B$2:$B$98,0)),"Yes","Check")</f>
        <v>Yes</v>
      </c>
    </row>
    <row r="147" customFormat="false" ht="46.25" hidden="false" customHeight="false" outlineLevel="0" collapsed="false">
      <c r="A147" s="15" t="s">
        <v>155</v>
      </c>
      <c r="B147" s="15" t="s">
        <v>748</v>
      </c>
      <c r="C147" s="15" t="s">
        <v>1551</v>
      </c>
      <c r="D147" s="15" t="str">
        <f aca="false">IF(ISNUMBER(MATCH(B147,Pages!$B$2:$B$98,0)),"Yes","Check")</f>
        <v>Yes</v>
      </c>
    </row>
    <row r="148" customFormat="false" ht="46.25" hidden="false" customHeight="false" outlineLevel="0" collapsed="false">
      <c r="A148" s="15" t="s">
        <v>155</v>
      </c>
      <c r="B148" s="15" t="s">
        <v>228</v>
      </c>
      <c r="C148" s="15" t="s">
        <v>1552</v>
      </c>
      <c r="D148" s="15" t="str">
        <f aca="false">IF(ISNUMBER(MATCH(B148,Pages!$B$2:$B$98,0)),"Yes","Check")</f>
        <v>Yes</v>
      </c>
    </row>
    <row r="149" customFormat="false" ht="46.25" hidden="false" customHeight="false" outlineLevel="0" collapsed="false">
      <c r="A149" s="15" t="s">
        <v>155</v>
      </c>
      <c r="B149" s="15" t="s">
        <v>459</v>
      </c>
      <c r="C149" s="15" t="s">
        <v>1553</v>
      </c>
      <c r="D149" s="15" t="str">
        <f aca="false">IF(ISNUMBER(MATCH(B149,Pages!$B$2:$B$98,0)),"Yes","Check")</f>
        <v>Yes</v>
      </c>
    </row>
    <row r="150" customFormat="false" ht="46.25" hidden="false" customHeight="false" outlineLevel="0" collapsed="false">
      <c r="A150" s="15" t="s">
        <v>155</v>
      </c>
      <c r="B150" s="15" t="s">
        <v>237</v>
      </c>
      <c r="C150" s="15" t="s">
        <v>1554</v>
      </c>
      <c r="D150" s="15" t="str">
        <f aca="false">IF(ISNUMBER(MATCH(B150,Pages!$B$2:$B$98,0)),"Yes","Check")</f>
        <v>Yes</v>
      </c>
    </row>
    <row r="151" customFormat="false" ht="46.25" hidden="false" customHeight="false" outlineLevel="0" collapsed="false">
      <c r="A151" s="15" t="s">
        <v>155</v>
      </c>
      <c r="B151" s="15" t="s">
        <v>540</v>
      </c>
      <c r="C151" s="15" t="s">
        <v>1555</v>
      </c>
      <c r="D151" s="15" t="str">
        <f aca="false">IF(ISNUMBER(MATCH(B151,Pages!$B$2:$B$98,0)),"Yes","Check")</f>
        <v>Yes</v>
      </c>
    </row>
    <row r="152" customFormat="false" ht="46.25" hidden="false" customHeight="false" outlineLevel="0" collapsed="false">
      <c r="A152" s="15" t="s">
        <v>155</v>
      </c>
      <c r="B152" s="15" t="s">
        <v>810</v>
      </c>
      <c r="C152" s="15" t="s">
        <v>1556</v>
      </c>
      <c r="D152" s="15" t="str">
        <f aca="false">IF(ISNUMBER(MATCH(B152,Pages!$B$2:$B$98,0)),"Yes","Check")</f>
        <v>Yes</v>
      </c>
    </row>
    <row r="153" customFormat="false" ht="46.25" hidden="false" customHeight="false" outlineLevel="0" collapsed="false">
      <c r="A153" s="15" t="s">
        <v>155</v>
      </c>
      <c r="B153" s="15" t="s">
        <v>304</v>
      </c>
      <c r="C153" s="15" t="s">
        <v>1557</v>
      </c>
      <c r="D153" s="15" t="str">
        <f aca="false">IF(ISNUMBER(MATCH(B153,Pages!$B$2:$B$98,0)),"Yes","Check")</f>
        <v>Yes</v>
      </c>
    </row>
    <row r="154" customFormat="false" ht="46.25" hidden="false" customHeight="false" outlineLevel="0" collapsed="false">
      <c r="A154" s="15" t="s">
        <v>155</v>
      </c>
      <c r="B154" s="15" t="s">
        <v>450</v>
      </c>
      <c r="C154" s="15" t="s">
        <v>1558</v>
      </c>
      <c r="D154" s="15" t="str">
        <f aca="false">IF(ISNUMBER(MATCH(B154,Pages!$B$2:$B$98,0)),"Yes","Check")</f>
        <v>Yes</v>
      </c>
    </row>
    <row r="155" customFormat="false" ht="35.05" hidden="false" customHeight="false" outlineLevel="0" collapsed="false">
      <c r="A155" s="15" t="s">
        <v>155</v>
      </c>
      <c r="B155" s="15" t="s">
        <v>828</v>
      </c>
      <c r="C155" s="15" t="s">
        <v>1559</v>
      </c>
      <c r="D155" s="15" t="str">
        <f aca="false">IF(ISNUMBER(MATCH(B155,Pages!$B$2:$B$98,0)),"Yes","Check")</f>
        <v>Yes</v>
      </c>
    </row>
    <row r="156" customFormat="false" ht="46.25" hidden="false" customHeight="false" outlineLevel="0" collapsed="false">
      <c r="A156" s="15" t="s">
        <v>155</v>
      </c>
      <c r="B156" s="15" t="s">
        <v>217</v>
      </c>
      <c r="C156" s="15" t="s">
        <v>1560</v>
      </c>
      <c r="D156" s="15" t="str">
        <f aca="false">IF(ISNUMBER(MATCH(B156,Pages!$B$2:$B$98,0)),"Yes","Check")</f>
        <v>Yes</v>
      </c>
    </row>
    <row r="157" customFormat="false" ht="46.25" hidden="false" customHeight="false" outlineLevel="0" collapsed="false">
      <c r="A157" s="15" t="s">
        <v>155</v>
      </c>
      <c r="B157" s="15" t="s">
        <v>679</v>
      </c>
      <c r="C157" s="15" t="s">
        <v>1561</v>
      </c>
      <c r="D157" s="15" t="str">
        <f aca="false">IF(ISNUMBER(MATCH(B157,Pages!$B$2:$B$98,0)),"Yes","Check")</f>
        <v>Yes</v>
      </c>
    </row>
    <row r="158" customFormat="false" ht="46.25" hidden="false" customHeight="false" outlineLevel="0" collapsed="false">
      <c r="A158" s="15" t="s">
        <v>155</v>
      </c>
      <c r="B158" s="15" t="s">
        <v>792</v>
      </c>
      <c r="C158" s="15" t="s">
        <v>1562</v>
      </c>
      <c r="D158" s="15" t="str">
        <f aca="false">IF(ISNUMBER(MATCH(B158,Pages!$B$2:$B$98,0)),"Yes","Check")</f>
        <v>Yes</v>
      </c>
    </row>
    <row r="159" customFormat="false" ht="35.05" hidden="false" customHeight="false" outlineLevel="0" collapsed="false">
      <c r="A159" s="15" t="s">
        <v>155</v>
      </c>
      <c r="B159" s="15" t="s">
        <v>431</v>
      </c>
      <c r="C159" s="15" t="s">
        <v>1563</v>
      </c>
      <c r="D159" s="15" t="str">
        <f aca="false">IF(ISNUMBER(MATCH(B159,Pages!$B$2:$B$98,0)),"Yes","Check")</f>
        <v>Yes</v>
      </c>
    </row>
    <row r="160" customFormat="false" ht="46.25" hidden="false" customHeight="false" outlineLevel="0" collapsed="false">
      <c r="A160" s="15" t="s">
        <v>155</v>
      </c>
      <c r="B160" s="15" t="s">
        <v>837</v>
      </c>
      <c r="C160" s="15" t="s">
        <v>1564</v>
      </c>
      <c r="D160" s="15" t="str">
        <f aca="false">IF(ISNUMBER(MATCH(B160,Pages!$B$2:$B$98,0)),"Yes","Check")</f>
        <v>Yes</v>
      </c>
    </row>
    <row r="161" customFormat="false" ht="46.25" hidden="false" customHeight="false" outlineLevel="0" collapsed="false">
      <c r="A161" s="15" t="s">
        <v>155</v>
      </c>
      <c r="B161" s="15" t="s">
        <v>697</v>
      </c>
      <c r="C161" s="15" t="s">
        <v>1565</v>
      </c>
      <c r="D161" s="15" t="str">
        <f aca="false">IF(ISNUMBER(MATCH(B161,Pages!$B$2:$B$98,0)),"Yes","Check")</f>
        <v>Yes</v>
      </c>
    </row>
    <row r="162" customFormat="false" ht="46.25" hidden="false" customHeight="false" outlineLevel="0" collapsed="false">
      <c r="A162" s="15" t="s">
        <v>155</v>
      </c>
      <c r="B162" s="15" t="s">
        <v>917</v>
      </c>
      <c r="C162" s="15" t="s">
        <v>1566</v>
      </c>
      <c r="D162" s="15" t="str">
        <f aca="false">IF(ISNUMBER(MATCH(B162,Pages!$B$2:$B$98,0)),"Yes","Check")</f>
        <v>Yes</v>
      </c>
    </row>
    <row r="163" customFormat="false" ht="35.05" hidden="false" customHeight="false" outlineLevel="0" collapsed="false">
      <c r="A163" s="15" t="s">
        <v>155</v>
      </c>
      <c r="B163" s="15" t="s">
        <v>441</v>
      </c>
      <c r="C163" s="15" t="s">
        <v>1567</v>
      </c>
      <c r="D163" s="15" t="str">
        <f aca="false">IF(ISNUMBER(MATCH(B163,Pages!$B$2:$B$98,0)),"Yes","Check")</f>
        <v>Yes</v>
      </c>
    </row>
    <row r="164" customFormat="false" ht="35.05" hidden="false" customHeight="false" outlineLevel="0" collapsed="false">
      <c r="A164" s="15" t="s">
        <v>155</v>
      </c>
      <c r="B164" s="15" t="s">
        <v>722</v>
      </c>
      <c r="C164" s="15" t="s">
        <v>1568</v>
      </c>
      <c r="D164" s="15" t="str">
        <f aca="false">IF(ISNUMBER(MATCH(B164,Pages!$B$2:$B$98,0)),"Yes","Check")</f>
        <v>Yes</v>
      </c>
    </row>
    <row r="165" customFormat="false" ht="46.25" hidden="false" customHeight="false" outlineLevel="0" collapsed="false">
      <c r="A165" s="15" t="s">
        <v>155</v>
      </c>
      <c r="B165" s="15" t="s">
        <v>757</v>
      </c>
      <c r="C165" s="15" t="s">
        <v>1569</v>
      </c>
      <c r="D165" s="15" t="str">
        <f aca="false">IF(ISNUMBER(MATCH(B165,Pages!$B$2:$B$98,0)),"Yes","Check")</f>
        <v>Yes</v>
      </c>
    </row>
    <row r="166" customFormat="false" ht="46.25" hidden="false" customHeight="false" outlineLevel="0" collapsed="false">
      <c r="A166" s="15" t="s">
        <v>155</v>
      </c>
      <c r="B166" s="15" t="s">
        <v>531</v>
      </c>
      <c r="C166" s="15" t="s">
        <v>1570</v>
      </c>
      <c r="D166" s="15" t="str">
        <f aca="false">IF(ISNUMBER(MATCH(B166,Pages!$B$2:$B$98,0)),"Yes","Check")</f>
        <v>Yes</v>
      </c>
    </row>
    <row r="167" customFormat="false" ht="46.25" hidden="false" customHeight="false" outlineLevel="0" collapsed="false">
      <c r="A167" s="15" t="s">
        <v>155</v>
      </c>
      <c r="B167" s="15" t="s">
        <v>195</v>
      </c>
      <c r="C167" s="15" t="s">
        <v>1571</v>
      </c>
      <c r="D167" s="15" t="str">
        <f aca="false">IF(ISNUMBER(MATCH(B167,Pages!$B$2:$B$98,0)),"Yes","Check")</f>
        <v>Yes</v>
      </c>
    </row>
    <row r="168" customFormat="false" ht="46.25" hidden="false" customHeight="false" outlineLevel="0" collapsed="false">
      <c r="A168" s="15" t="s">
        <v>155</v>
      </c>
      <c r="B168" s="15" t="s">
        <v>331</v>
      </c>
      <c r="C168" s="15" t="s">
        <v>1572</v>
      </c>
      <c r="D168" s="15" t="str">
        <f aca="false">IF(ISNUMBER(MATCH(B168,Pages!$B$2:$B$98,0)),"Yes","Check")</f>
        <v>Yes</v>
      </c>
    </row>
    <row r="169" customFormat="false" ht="46.25" hidden="false" customHeight="false" outlineLevel="0" collapsed="false">
      <c r="A169" s="15" t="s">
        <v>155</v>
      </c>
      <c r="B169" s="15" t="s">
        <v>908</v>
      </c>
      <c r="C169" s="15" t="s">
        <v>1573</v>
      </c>
      <c r="D169" s="15" t="str">
        <f aca="false">IF(ISNUMBER(MATCH(B169,Pages!$B$2:$B$98,0)),"Yes","Check")</f>
        <v>Yes</v>
      </c>
    </row>
    <row r="170" customFormat="false" ht="46.25" hidden="false" customHeight="false" outlineLevel="0" collapsed="false">
      <c r="A170" s="15" t="s">
        <v>155</v>
      </c>
      <c r="B170" s="15" t="s">
        <v>731</v>
      </c>
      <c r="C170" s="15" t="s">
        <v>1574</v>
      </c>
      <c r="D170" s="15" t="str">
        <f aca="false">IF(ISNUMBER(MATCH(B170,Pages!$B$2:$B$98,0)),"Yes","Check")</f>
        <v>Yes</v>
      </c>
    </row>
    <row r="171" customFormat="false" ht="46.25" hidden="false" customHeight="false" outlineLevel="0" collapsed="false">
      <c r="A171" s="15" t="s">
        <v>155</v>
      </c>
      <c r="B171" s="15" t="s">
        <v>713</v>
      </c>
      <c r="C171" s="15" t="s">
        <v>1575</v>
      </c>
      <c r="D171" s="15" t="str">
        <f aca="false">IF(ISNUMBER(MATCH(B171,Pages!$B$2:$B$98,0)),"Yes","Check")</f>
        <v>Yes</v>
      </c>
    </row>
    <row r="172" customFormat="false" ht="46.25" hidden="false" customHeight="false" outlineLevel="0" collapsed="false">
      <c r="A172" s="15" t="s">
        <v>155</v>
      </c>
      <c r="B172" s="15" t="s">
        <v>705</v>
      </c>
      <c r="C172" s="15" t="s">
        <v>1576</v>
      </c>
      <c r="D172" s="15" t="str">
        <f aca="false">IF(ISNUMBER(MATCH(B172,Pages!$B$2:$B$98,0)),"Yes","Check")</f>
        <v>Yes</v>
      </c>
    </row>
    <row r="173" customFormat="false" ht="46.25" hidden="false" customHeight="false" outlineLevel="0" collapsed="false">
      <c r="A173" s="15" t="s">
        <v>155</v>
      </c>
      <c r="B173" s="15" t="s">
        <v>638</v>
      </c>
      <c r="C173" s="15" t="s">
        <v>1577</v>
      </c>
      <c r="D173" s="15" t="str">
        <f aca="false">IF(ISNUMBER(MATCH(B173,Pages!$B$2:$B$98,0)),"Yes","Check")</f>
        <v>Yes</v>
      </c>
    </row>
    <row r="174" customFormat="false" ht="46.25" hidden="false" customHeight="false" outlineLevel="0" collapsed="false">
      <c r="A174" s="15" t="s">
        <v>155</v>
      </c>
      <c r="B174" s="15" t="s">
        <v>775</v>
      </c>
      <c r="C174" s="15" t="s">
        <v>1578</v>
      </c>
      <c r="D174" s="15" t="str">
        <f aca="false">IF(ISNUMBER(MATCH(B174,Pages!$B$2:$B$98,0)),"Yes","Check")</f>
        <v>Yes</v>
      </c>
    </row>
    <row r="175" customFormat="false" ht="46.25" hidden="false" customHeight="false" outlineLevel="0" collapsed="false">
      <c r="A175" s="15" t="s">
        <v>155</v>
      </c>
      <c r="B175" s="15" t="s">
        <v>881</v>
      </c>
      <c r="C175" s="15" t="s">
        <v>1579</v>
      </c>
      <c r="D175" s="15" t="str">
        <f aca="false">IF(ISNUMBER(MATCH(B175,Pages!$B$2:$B$98,0)),"Yes","Check")</f>
        <v>Yes</v>
      </c>
    </row>
    <row r="176" customFormat="false" ht="46.25" hidden="false" customHeight="false" outlineLevel="0" collapsed="false">
      <c r="A176" s="15" t="s">
        <v>155</v>
      </c>
      <c r="B176" s="15" t="s">
        <v>819</v>
      </c>
      <c r="C176" s="15" t="s">
        <v>1580</v>
      </c>
      <c r="D176" s="15" t="str">
        <f aca="false">IF(ISNUMBER(MATCH(B176,Pages!$B$2:$B$98,0)),"Yes","Check")</f>
        <v>Yes</v>
      </c>
    </row>
    <row r="177" customFormat="false" ht="46.25" hidden="false" customHeight="false" outlineLevel="0" collapsed="false">
      <c r="A177" s="15" t="s">
        <v>155</v>
      </c>
      <c r="B177" s="15" t="s">
        <v>295</v>
      </c>
      <c r="C177" s="15" t="s">
        <v>1581</v>
      </c>
      <c r="D177" s="15" t="str">
        <f aca="false">IF(ISNUMBER(MATCH(B177,Pages!$B$2:$B$98,0)),"Yes","Check")</f>
        <v>Yes</v>
      </c>
    </row>
    <row r="178" customFormat="false" ht="46.25" hidden="false" customHeight="false" outlineLevel="0" collapsed="false">
      <c r="A178" s="15" t="s">
        <v>155</v>
      </c>
      <c r="B178" s="15" t="s">
        <v>801</v>
      </c>
      <c r="C178" s="15" t="s">
        <v>1582</v>
      </c>
      <c r="D178" s="15" t="str">
        <f aca="false">IF(ISNUMBER(MATCH(B178,Pages!$B$2:$B$98,0)),"Yes","Check")</f>
        <v>Yes</v>
      </c>
    </row>
    <row r="179" customFormat="false" ht="46.25" hidden="false" customHeight="false" outlineLevel="0" collapsed="false">
      <c r="A179" s="15" t="s">
        <v>155</v>
      </c>
      <c r="B179" s="15" t="s">
        <v>943</v>
      </c>
      <c r="C179" s="15" t="s">
        <v>1583</v>
      </c>
      <c r="D179" s="15" t="str">
        <f aca="false">IF(ISNUMBER(MATCH(B179,Pages!$B$2:$B$98,0)),"Yes","Check")</f>
        <v>Yes</v>
      </c>
    </row>
    <row r="180" customFormat="false" ht="46.25" hidden="false" customHeight="false" outlineLevel="0" collapsed="false">
      <c r="A180" s="15" t="s">
        <v>155</v>
      </c>
      <c r="B180" s="15" t="s">
        <v>413</v>
      </c>
      <c r="C180" s="15" t="s">
        <v>1584</v>
      </c>
      <c r="D180" s="15" t="str">
        <f aca="false">IF(ISNUMBER(MATCH(B180,Pages!$B$2:$B$98,0)),"Yes","Check")</f>
        <v>Yes</v>
      </c>
    </row>
    <row r="181" customFormat="false" ht="46.25" hidden="false" customHeight="false" outlineLevel="0" collapsed="false">
      <c r="A181" s="15" t="s">
        <v>155</v>
      </c>
      <c r="B181" s="15" t="s">
        <v>468</v>
      </c>
      <c r="C181" s="15" t="s">
        <v>1585</v>
      </c>
      <c r="D181" s="15" t="str">
        <f aca="false">IF(ISNUMBER(MATCH(B181,Pages!$B$2:$B$98,0)),"Yes","Check")</f>
        <v>Yes</v>
      </c>
    </row>
    <row r="182" customFormat="false" ht="46.25" hidden="false" customHeight="false" outlineLevel="0" collapsed="false">
      <c r="A182" s="15" t="s">
        <v>155</v>
      </c>
      <c r="B182" s="15" t="s">
        <v>952</v>
      </c>
      <c r="C182" s="15" t="s">
        <v>1586</v>
      </c>
      <c r="D182" s="15" t="str">
        <f aca="false">IF(ISNUMBER(MATCH(B182,Pages!$B$2:$B$98,0)),"Yes","Check")</f>
        <v>Yes</v>
      </c>
    </row>
    <row r="183" customFormat="false" ht="35.05" hidden="false" customHeight="false" outlineLevel="0" collapsed="false">
      <c r="A183" s="15" t="s">
        <v>155</v>
      </c>
      <c r="B183" s="15" t="s">
        <v>585</v>
      </c>
      <c r="C183" s="15" t="s">
        <v>1587</v>
      </c>
      <c r="D183" s="15" t="str">
        <f aca="false">IF(ISNUMBER(MATCH(B183,Pages!$B$2:$B$98,0)),"Yes","Check")</f>
        <v>Yes</v>
      </c>
    </row>
    <row r="184" customFormat="false" ht="46.25" hidden="false" customHeight="false" outlineLevel="0" collapsed="false">
      <c r="A184" s="15" t="s">
        <v>155</v>
      </c>
      <c r="B184" s="15" t="s">
        <v>899</v>
      </c>
      <c r="C184" s="15" t="s">
        <v>1588</v>
      </c>
      <c r="D184" s="15" t="str">
        <f aca="false">IF(ISNUMBER(MATCH(B184,Pages!$B$2:$B$98,0)),"Yes","Check")</f>
        <v>Yes</v>
      </c>
    </row>
    <row r="185" customFormat="false" ht="46.25" hidden="false" customHeight="false" outlineLevel="0" collapsed="false">
      <c r="A185" s="15" t="s">
        <v>155</v>
      </c>
      <c r="B185" s="15" t="s">
        <v>846</v>
      </c>
      <c r="C185" s="15" t="s">
        <v>1589</v>
      </c>
      <c r="D185" s="15" t="str">
        <f aca="false">IF(ISNUMBER(MATCH(B185,Pages!$B$2:$B$98,0)),"Yes","Check")</f>
        <v>Yes</v>
      </c>
    </row>
    <row r="186" customFormat="false" ht="46.25" hidden="false" customHeight="false" outlineLevel="0" collapsed="false">
      <c r="A186" s="15" t="s">
        <v>155</v>
      </c>
      <c r="B186" s="15" t="s">
        <v>620</v>
      </c>
      <c r="C186" s="15" t="s">
        <v>1590</v>
      </c>
      <c r="D186" s="15" t="str">
        <f aca="false">IF(ISNUMBER(MATCH(B186,Pages!$B$2:$B$98,0)),"Yes","Check")</f>
        <v>Yes</v>
      </c>
    </row>
    <row r="187" customFormat="false" ht="46.25" hidden="false" customHeight="false" outlineLevel="0" collapsed="false">
      <c r="A187" s="15" t="s">
        <v>155</v>
      </c>
      <c r="B187" s="15" t="s">
        <v>257</v>
      </c>
      <c r="C187" s="15" t="s">
        <v>1591</v>
      </c>
      <c r="D187" s="15" t="str">
        <f aca="false">IF(ISNUMBER(MATCH(B187,Pages!$B$2:$B$98,0)),"Yes","Check")</f>
        <v>Yes</v>
      </c>
    </row>
    <row r="188" customFormat="false" ht="46.25" hidden="false" customHeight="false" outlineLevel="0" collapsed="false">
      <c r="A188" s="15" t="s">
        <v>155</v>
      </c>
      <c r="B188" s="15" t="s">
        <v>593</v>
      </c>
      <c r="C188" s="15" t="s">
        <v>1592</v>
      </c>
      <c r="D188" s="15" t="str">
        <f aca="false">IF(ISNUMBER(MATCH(B188,Pages!$B$2:$B$98,0)),"Yes","Check")</f>
        <v>Yes</v>
      </c>
    </row>
    <row r="189" customFormat="false" ht="46.25" hidden="false" customHeight="false" outlineLevel="0" collapsed="false">
      <c r="A189" s="15" t="s">
        <v>155</v>
      </c>
      <c r="B189" s="15" t="s">
        <v>602</v>
      </c>
      <c r="C189" s="15" t="s">
        <v>1593</v>
      </c>
      <c r="D189" s="15" t="str">
        <f aca="false">IF(ISNUMBER(MATCH(B189,Pages!$B$2:$B$98,0)),"Yes","Check")</f>
        <v>Yes</v>
      </c>
    </row>
    <row r="190" customFormat="false" ht="46.25" hidden="false" customHeight="false" outlineLevel="0" collapsed="false">
      <c r="A190" s="15" t="s">
        <v>155</v>
      </c>
      <c r="B190" s="15" t="s">
        <v>567</v>
      </c>
      <c r="C190" s="15" t="s">
        <v>1594</v>
      </c>
      <c r="D190" s="15" t="str">
        <f aca="false">IF(ISNUMBER(MATCH(B190,Pages!$B$2:$B$98,0)),"Yes","Check")</f>
        <v>Yes</v>
      </c>
    </row>
    <row r="191" customFormat="false" ht="46.25" hidden="false" customHeight="false" outlineLevel="0" collapsed="false">
      <c r="A191" s="15" t="s">
        <v>155</v>
      </c>
      <c r="B191" s="15" t="s">
        <v>557</v>
      </c>
      <c r="C191" s="15" t="s">
        <v>1595</v>
      </c>
      <c r="D191" s="15" t="str">
        <f aca="false">IF(ISNUMBER(MATCH(B191,Pages!$B$2:$B$98,0)),"Yes","Check")</f>
        <v>Yes</v>
      </c>
    </row>
    <row r="192" customFormat="false" ht="46.25" hidden="false" customHeight="false" outlineLevel="0" collapsed="false">
      <c r="A192" s="15" t="s">
        <v>155</v>
      </c>
      <c r="B192" s="15" t="s">
        <v>611</v>
      </c>
      <c r="C192" s="15" t="s">
        <v>1596</v>
      </c>
      <c r="D192" s="15" t="str">
        <f aca="false">IF(ISNUMBER(MATCH(B192,Pages!$B$2:$B$98,0)),"Yes","Check")</f>
        <v>Yes</v>
      </c>
    </row>
    <row r="193" customFormat="false" ht="46.25" hidden="false" customHeight="false" outlineLevel="0" collapsed="false">
      <c r="A193" s="15" t="s">
        <v>155</v>
      </c>
      <c r="B193" s="15" t="s">
        <v>629</v>
      </c>
      <c r="C193" s="15" t="s">
        <v>1597</v>
      </c>
      <c r="D193" s="15" t="str">
        <f aca="false">IF(ISNUMBER(MATCH(B193,Pages!$B$2:$B$98,0)),"Yes","Check")</f>
        <v>Yes</v>
      </c>
    </row>
    <row r="194" customFormat="false" ht="15" hidden="false" customHeight="false" outlineLevel="0" collapsed="false">
      <c r="A194" s="15" t="s">
        <v>155</v>
      </c>
      <c r="B194" s="15" t="s">
        <v>116</v>
      </c>
      <c r="C194" s="15" t="s">
        <v>1483</v>
      </c>
      <c r="D194" s="15" t="str">
        <f aca="false">IF(ISNUMBER(MATCH(B194,Pages!$B$2:$B$98,0)),"Yes","Check")</f>
        <v>Yes</v>
      </c>
    </row>
    <row r="195" customFormat="false" ht="15" hidden="false" customHeight="false" outlineLevel="0" collapsed="false">
      <c r="A195" s="15" t="s">
        <v>195</v>
      </c>
      <c r="B195" s="15" t="s">
        <v>183</v>
      </c>
      <c r="C195" s="15" t="s">
        <v>1598</v>
      </c>
      <c r="D195" s="15" t="str">
        <f aca="false">IF(ISNUMBER(MATCH(B195,Pages!$B$2:$B$98,0)),"Yes","Check")</f>
        <v>Yes</v>
      </c>
    </row>
    <row r="196" customFormat="false" ht="15" hidden="false" customHeight="false" outlineLevel="0" collapsed="false">
      <c r="A196" s="15" t="s">
        <v>195</v>
      </c>
      <c r="B196" s="15" t="s">
        <v>757</v>
      </c>
      <c r="C196" s="15" t="s">
        <v>1599</v>
      </c>
      <c r="D196" s="15" t="str">
        <f aca="false">IF(ISNUMBER(MATCH(B196,Pages!$B$2:$B$98,0)),"Yes","Check")</f>
        <v>Yes</v>
      </c>
    </row>
    <row r="197" customFormat="false" ht="15" hidden="false" customHeight="false" outlineLevel="0" collapsed="false">
      <c r="A197" s="15" t="s">
        <v>195</v>
      </c>
      <c r="B197" s="15" t="s">
        <v>331</v>
      </c>
      <c r="C197" s="15" t="s">
        <v>1600</v>
      </c>
      <c r="D197" s="15" t="str">
        <f aca="false">IF(ISNUMBER(MATCH(B197,Pages!$B$2:$B$98,0)),"Yes","Check")</f>
        <v>Yes</v>
      </c>
    </row>
    <row r="198" customFormat="false" ht="15" hidden="false" customHeight="false" outlineLevel="0" collapsed="false">
      <c r="A198" s="15" t="s">
        <v>195</v>
      </c>
      <c r="B198" s="15" t="s">
        <v>468</v>
      </c>
      <c r="C198" s="15" t="s">
        <v>1601</v>
      </c>
      <c r="D198" s="15" t="str">
        <f aca="false">IF(ISNUMBER(MATCH(B198,Pages!$B$2:$B$98,0)),"Yes","Check")</f>
        <v>Yes</v>
      </c>
    </row>
    <row r="199" customFormat="false" ht="15" hidden="false" customHeight="false" outlineLevel="0" collapsed="false">
      <c r="A199" s="15" t="s">
        <v>195</v>
      </c>
      <c r="B199" s="15" t="s">
        <v>819</v>
      </c>
      <c r="C199" s="15" t="s">
        <v>1602</v>
      </c>
      <c r="D199" s="15" t="str">
        <f aca="false">IF(ISNUMBER(MATCH(B199,Pages!$B$2:$B$98,0)),"Yes","Check")</f>
        <v>Yes</v>
      </c>
    </row>
    <row r="200" customFormat="false" ht="15" hidden="false" customHeight="false" outlineLevel="0" collapsed="false">
      <c r="A200" s="15" t="s">
        <v>195</v>
      </c>
      <c r="B200" s="15" t="s">
        <v>952</v>
      </c>
      <c r="C200" s="15" t="s">
        <v>1603</v>
      </c>
      <c r="D200" s="15" t="str">
        <f aca="false">IF(ISNUMBER(MATCH(B200,Pages!$B$2:$B$98,0)),"Yes","Check")</f>
        <v>Yes</v>
      </c>
    </row>
    <row r="201" customFormat="false" ht="15" hidden="false" customHeight="false" outlineLevel="0" collapsed="false">
      <c r="A201" s="15" t="s">
        <v>195</v>
      </c>
      <c r="B201" s="15" t="s">
        <v>125</v>
      </c>
      <c r="C201" s="15" t="s">
        <v>1604</v>
      </c>
      <c r="D201" s="15" t="str">
        <f aca="false">IF(ISNUMBER(MATCH(B201,Pages!$B$2:$B$98,0)),"Yes","Check")</f>
        <v>Yes</v>
      </c>
    </row>
    <row r="202" customFormat="false" ht="15" hidden="false" customHeight="false" outlineLevel="0" collapsed="false">
      <c r="A202" s="15" t="s">
        <v>195</v>
      </c>
      <c r="B202" s="15" t="s">
        <v>116</v>
      </c>
      <c r="C202" s="15" t="s">
        <v>1605</v>
      </c>
      <c r="D202" s="15" t="str">
        <f aca="false">IF(ISNUMBER(MATCH(B202,Pages!$B$2:$B$98,0)),"Yes","Check")</f>
        <v>Yes</v>
      </c>
    </row>
    <row r="203" customFormat="false" ht="15" hidden="false" customHeight="false" outlineLevel="0" collapsed="false">
      <c r="A203" s="15" t="s">
        <v>195</v>
      </c>
      <c r="B203" s="15" t="s">
        <v>125</v>
      </c>
      <c r="C203" s="15" t="s">
        <v>1606</v>
      </c>
      <c r="D203" s="15" t="str">
        <f aca="false">IF(ISNUMBER(MATCH(B203,Pages!$B$2:$B$98,0)),"Yes","Check")</f>
        <v>Yes</v>
      </c>
    </row>
    <row r="204" customFormat="false" ht="15" hidden="false" customHeight="false" outlineLevel="0" collapsed="false">
      <c r="A204" s="15" t="s">
        <v>195</v>
      </c>
      <c r="B204" s="15" t="s">
        <v>331</v>
      </c>
      <c r="C204" s="15" t="s">
        <v>1607</v>
      </c>
      <c r="D204" s="15" t="str">
        <f aca="false">IF(ISNUMBER(MATCH(B204,Pages!$B$2:$B$98,0)),"Yes","Check")</f>
        <v>Yes</v>
      </c>
    </row>
    <row r="205" customFormat="false" ht="15" hidden="false" customHeight="false" outlineLevel="0" collapsed="false">
      <c r="A205" s="15" t="s">
        <v>195</v>
      </c>
      <c r="B205" s="15" t="s">
        <v>757</v>
      </c>
      <c r="C205" s="15" t="s">
        <v>1608</v>
      </c>
      <c r="D205" s="15" t="str">
        <f aca="false">IF(ISNUMBER(MATCH(B205,Pages!$B$2:$B$98,0)),"Yes","Check")</f>
        <v>Yes</v>
      </c>
    </row>
    <row r="206" customFormat="false" ht="15" hidden="false" customHeight="false" outlineLevel="0" collapsed="false">
      <c r="A206" s="15" t="s">
        <v>195</v>
      </c>
      <c r="B206" s="15" t="s">
        <v>722</v>
      </c>
      <c r="C206" s="15" t="s">
        <v>1609</v>
      </c>
      <c r="D206" s="15" t="str">
        <f aca="false">IF(ISNUMBER(MATCH(B206,Pages!$B$2:$B$98,0)),"Yes","Check")</f>
        <v>Yes</v>
      </c>
    </row>
    <row r="207" customFormat="false" ht="15" hidden="false" customHeight="false" outlineLevel="0" collapsed="false">
      <c r="A207" s="15" t="s">
        <v>195</v>
      </c>
      <c r="B207" s="15" t="s">
        <v>116</v>
      </c>
      <c r="C207" s="15" t="s">
        <v>1483</v>
      </c>
      <c r="D207" s="15" t="str">
        <f aca="false">IF(ISNUMBER(MATCH(B207,Pages!$B$2:$B$98,0)),"Yes","Check")</f>
        <v>Yes</v>
      </c>
    </row>
    <row r="208" customFormat="false" ht="15" hidden="false" customHeight="false" outlineLevel="0" collapsed="false">
      <c r="A208" s="15" t="s">
        <v>206</v>
      </c>
      <c r="B208" s="15" t="s">
        <v>513</v>
      </c>
      <c r="C208" s="15" t="s">
        <v>1610</v>
      </c>
      <c r="D208" s="15" t="str">
        <f aca="false">IF(ISNUMBER(MATCH(B208,Pages!$B$2:$B$98,0)),"Yes","Check")</f>
        <v>Yes</v>
      </c>
    </row>
    <row r="209" customFormat="false" ht="15" hidden="false" customHeight="false" outlineLevel="0" collapsed="false">
      <c r="A209" s="15" t="s">
        <v>206</v>
      </c>
      <c r="B209" s="15" t="s">
        <v>934</v>
      </c>
      <c r="C209" s="15" t="s">
        <v>1488</v>
      </c>
      <c r="D209" s="15" t="str">
        <f aca="false">IF(ISNUMBER(MATCH(B209,Pages!$B$2:$B$98,0)),"Yes","Check")</f>
        <v>Yes</v>
      </c>
    </row>
    <row r="210" customFormat="false" ht="15" hidden="false" customHeight="false" outlineLevel="0" collapsed="false">
      <c r="A210" s="15" t="s">
        <v>206</v>
      </c>
      <c r="B210" s="15" t="s">
        <v>662</v>
      </c>
      <c r="C210" s="15" t="s">
        <v>1611</v>
      </c>
      <c r="D210" s="15" t="str">
        <f aca="false">IF(ISNUMBER(MATCH(B210,Pages!$B$2:$B$98,0)),"Yes","Check")</f>
        <v>Yes</v>
      </c>
    </row>
    <row r="211" customFormat="false" ht="15" hidden="false" customHeight="false" outlineLevel="0" collapsed="false">
      <c r="A211" s="15" t="s">
        <v>206</v>
      </c>
      <c r="B211" s="15" t="s">
        <v>646</v>
      </c>
      <c r="C211" s="15" t="s">
        <v>1612</v>
      </c>
      <c r="D211" s="15" t="str">
        <f aca="false">IF(ISNUMBER(MATCH(B211,Pages!$B$2:$B$98,0)),"Yes","Check")</f>
        <v>Yes</v>
      </c>
    </row>
    <row r="212" customFormat="false" ht="15" hidden="false" customHeight="false" outlineLevel="0" collapsed="false">
      <c r="A212" s="15" t="s">
        <v>206</v>
      </c>
      <c r="B212" s="15" t="s">
        <v>748</v>
      </c>
      <c r="C212" s="15" t="s">
        <v>752</v>
      </c>
      <c r="D212" s="15" t="str">
        <f aca="false">IF(ISNUMBER(MATCH(B212,Pages!$B$2:$B$98,0)),"Yes","Check")</f>
        <v>Yes</v>
      </c>
    </row>
    <row r="213" customFormat="false" ht="15" hidden="false" customHeight="false" outlineLevel="0" collapsed="false">
      <c r="A213" s="15" t="s">
        <v>206</v>
      </c>
      <c r="B213" s="15" t="s">
        <v>450</v>
      </c>
      <c r="C213" s="15" t="s">
        <v>1492</v>
      </c>
      <c r="D213" s="15" t="str">
        <f aca="false">IF(ISNUMBER(MATCH(B213,Pages!$B$2:$B$98,0)),"Yes","Check")</f>
        <v>Yes</v>
      </c>
    </row>
    <row r="214" customFormat="false" ht="15" hidden="false" customHeight="false" outlineLevel="0" collapsed="false">
      <c r="A214" s="15" t="s">
        <v>206</v>
      </c>
      <c r="B214" s="15" t="s">
        <v>195</v>
      </c>
      <c r="C214" s="15" t="s">
        <v>1613</v>
      </c>
      <c r="D214" s="15" t="str">
        <f aca="false">IF(ISNUMBER(MATCH(B214,Pages!$B$2:$B$98,0)),"Yes","Check")</f>
        <v>Yes</v>
      </c>
    </row>
    <row r="215" customFormat="false" ht="15" hidden="false" customHeight="false" outlineLevel="0" collapsed="false">
      <c r="A215" s="15" t="s">
        <v>206</v>
      </c>
      <c r="B215" s="15" t="s">
        <v>116</v>
      </c>
      <c r="C215" s="15" t="s">
        <v>1605</v>
      </c>
      <c r="D215" s="15" t="str">
        <f aca="false">IF(ISNUMBER(MATCH(B215,Pages!$B$2:$B$98,0)),"Yes","Check")</f>
        <v>Yes</v>
      </c>
    </row>
    <row r="216" customFormat="false" ht="23.85" hidden="false" customHeight="false" outlineLevel="0" collapsed="false">
      <c r="A216" s="15" t="s">
        <v>206</v>
      </c>
      <c r="B216" s="15" t="s">
        <v>646</v>
      </c>
      <c r="C216" s="15" t="s">
        <v>1614</v>
      </c>
      <c r="D216" s="15" t="str">
        <f aca="false">IF(ISNUMBER(MATCH(B216,Pages!$B$2:$B$98,0)),"Yes","Check")</f>
        <v>Yes</v>
      </c>
    </row>
    <row r="217" customFormat="false" ht="23.85" hidden="false" customHeight="false" outlineLevel="0" collapsed="false">
      <c r="A217" s="15" t="s">
        <v>206</v>
      </c>
      <c r="B217" s="15" t="s">
        <v>662</v>
      </c>
      <c r="C217" s="15" t="s">
        <v>1615</v>
      </c>
      <c r="D217" s="15" t="str">
        <f aca="false">IF(ISNUMBER(MATCH(B217,Pages!$B$2:$B$98,0)),"Yes","Check")</f>
        <v>Yes</v>
      </c>
    </row>
    <row r="218" customFormat="false" ht="15" hidden="false" customHeight="false" outlineLevel="0" collapsed="false">
      <c r="A218" s="15" t="s">
        <v>206</v>
      </c>
      <c r="B218" s="15" t="s">
        <v>748</v>
      </c>
      <c r="C218" s="15" t="s">
        <v>1616</v>
      </c>
      <c r="D218" s="15" t="str">
        <f aca="false">IF(ISNUMBER(MATCH(B218,Pages!$B$2:$B$98,0)),"Yes","Check")</f>
        <v>Yes</v>
      </c>
    </row>
    <row r="219" customFormat="false" ht="15" hidden="false" customHeight="false" outlineLevel="0" collapsed="false">
      <c r="A219" s="15" t="s">
        <v>206</v>
      </c>
      <c r="B219" s="15" t="s">
        <v>934</v>
      </c>
      <c r="C219" s="15" t="s">
        <v>1617</v>
      </c>
      <c r="D219" s="15" t="str">
        <f aca="false">IF(ISNUMBER(MATCH(B219,Pages!$B$2:$B$98,0)),"Yes","Check")</f>
        <v>Yes</v>
      </c>
    </row>
    <row r="220" customFormat="false" ht="15" hidden="false" customHeight="false" outlineLevel="0" collapsed="false">
      <c r="A220" s="15" t="s">
        <v>206</v>
      </c>
      <c r="B220" s="15" t="s">
        <v>116</v>
      </c>
      <c r="C220" s="15" t="s">
        <v>1483</v>
      </c>
      <c r="D220" s="15" t="str">
        <f aca="false">IF(ISNUMBER(MATCH(B220,Pages!$B$2:$B$98,0)),"Yes","Check")</f>
        <v>Yes</v>
      </c>
    </row>
    <row r="221" customFormat="false" ht="15" hidden="false" customHeight="false" outlineLevel="0" collapsed="false">
      <c r="A221" s="15" t="s">
        <v>217</v>
      </c>
      <c r="B221" s="15" t="s">
        <v>459</v>
      </c>
      <c r="C221" s="15" t="s">
        <v>1618</v>
      </c>
      <c r="D221" s="15" t="str">
        <f aca="false">IF(ISNUMBER(MATCH(B221,Pages!$B$2:$B$98,0)),"Yes","Check")</f>
        <v>Yes</v>
      </c>
    </row>
    <row r="222" customFormat="false" ht="15" hidden="false" customHeight="false" outlineLevel="0" collapsed="false">
      <c r="A222" s="15" t="s">
        <v>217</v>
      </c>
      <c r="B222" s="15" t="s">
        <v>286</v>
      </c>
      <c r="C222" s="15" t="s">
        <v>290</v>
      </c>
      <c r="D222" s="15" t="str">
        <f aca="false">IF(ISNUMBER(MATCH(B222,Pages!$B$2:$B$98,0)),"Yes","Check")</f>
        <v>Yes</v>
      </c>
    </row>
    <row r="223" customFormat="false" ht="15" hidden="false" customHeight="false" outlineLevel="0" collapsed="false">
      <c r="A223" s="15" t="s">
        <v>217</v>
      </c>
      <c r="B223" s="15" t="s">
        <v>837</v>
      </c>
      <c r="C223" s="15" t="s">
        <v>1619</v>
      </c>
      <c r="D223" s="15" t="str">
        <f aca="false">IF(ISNUMBER(MATCH(B223,Pages!$B$2:$B$98,0)),"Yes","Check")</f>
        <v>Yes</v>
      </c>
    </row>
    <row r="224" customFormat="false" ht="15" hidden="false" customHeight="false" outlineLevel="0" collapsed="false">
      <c r="A224" s="15" t="s">
        <v>217</v>
      </c>
      <c r="B224" s="15" t="s">
        <v>908</v>
      </c>
      <c r="C224" s="15" t="s">
        <v>1620</v>
      </c>
      <c r="D224" s="15" t="str">
        <f aca="false">IF(ISNUMBER(MATCH(B224,Pages!$B$2:$B$98,0)),"Yes","Check")</f>
        <v>Yes</v>
      </c>
    </row>
    <row r="225" customFormat="false" ht="15" hidden="false" customHeight="false" outlineLevel="0" collapsed="false">
      <c r="A225" s="15" t="s">
        <v>217</v>
      </c>
      <c r="B225" s="15" t="s">
        <v>792</v>
      </c>
      <c r="C225" s="15" t="s">
        <v>1621</v>
      </c>
      <c r="D225" s="15" t="str">
        <f aca="false">IF(ISNUMBER(MATCH(B225,Pages!$B$2:$B$98,0)),"Yes","Check")</f>
        <v>Yes</v>
      </c>
    </row>
    <row r="226" customFormat="false" ht="15" hidden="false" customHeight="false" outlineLevel="0" collapsed="false">
      <c r="A226" s="15" t="s">
        <v>217</v>
      </c>
      <c r="B226" s="15" t="s">
        <v>183</v>
      </c>
      <c r="C226" s="15" t="s">
        <v>1622</v>
      </c>
      <c r="D226" s="15" t="str">
        <f aca="false">IF(ISNUMBER(MATCH(B226,Pages!$B$2:$B$98,0)),"Yes","Check")</f>
        <v>Yes</v>
      </c>
    </row>
    <row r="227" customFormat="false" ht="15" hidden="false" customHeight="false" outlineLevel="0" collapsed="false">
      <c r="A227" s="15" t="s">
        <v>217</v>
      </c>
      <c r="B227" s="15" t="s">
        <v>828</v>
      </c>
      <c r="C227" s="15" t="s">
        <v>1623</v>
      </c>
      <c r="D227" s="15" t="str">
        <f aca="false">IF(ISNUMBER(MATCH(B227,Pages!$B$2:$B$98,0)),"Yes","Check")</f>
        <v>Yes</v>
      </c>
    </row>
    <row r="228" customFormat="false" ht="15" hidden="false" customHeight="false" outlineLevel="0" collapsed="false">
      <c r="A228" s="15" t="s">
        <v>217</v>
      </c>
      <c r="B228" s="15" t="s">
        <v>116</v>
      </c>
      <c r="C228" s="15" t="s">
        <v>1605</v>
      </c>
      <c r="D228" s="15" t="str">
        <f aca="false">IF(ISNUMBER(MATCH(B228,Pages!$B$2:$B$98,0)),"Yes","Check")</f>
        <v>Yes</v>
      </c>
    </row>
    <row r="229" customFormat="false" ht="23.85" hidden="false" customHeight="false" outlineLevel="0" collapsed="false">
      <c r="A229" s="15" t="s">
        <v>217</v>
      </c>
      <c r="B229" s="15" t="s">
        <v>286</v>
      </c>
      <c r="C229" s="15" t="s">
        <v>1624</v>
      </c>
      <c r="D229" s="15" t="str">
        <f aca="false">IF(ISNUMBER(MATCH(B229,Pages!$B$2:$B$98,0)),"Yes","Check")</f>
        <v>Yes</v>
      </c>
    </row>
    <row r="230" customFormat="false" ht="23.85" hidden="false" customHeight="false" outlineLevel="0" collapsed="false">
      <c r="A230" s="15" t="s">
        <v>217</v>
      </c>
      <c r="B230" s="15" t="s">
        <v>459</v>
      </c>
      <c r="C230" s="15" t="s">
        <v>1625</v>
      </c>
      <c r="D230" s="15" t="str">
        <f aca="false">IF(ISNUMBER(MATCH(B230,Pages!$B$2:$B$98,0)),"Yes","Check")</f>
        <v>Yes</v>
      </c>
    </row>
    <row r="231" customFormat="false" ht="15" hidden="false" customHeight="false" outlineLevel="0" collapsed="false">
      <c r="A231" s="15" t="s">
        <v>217</v>
      </c>
      <c r="B231" s="15" t="s">
        <v>792</v>
      </c>
      <c r="C231" s="15" t="s">
        <v>1626</v>
      </c>
      <c r="D231" s="15" t="str">
        <f aca="false">IF(ISNUMBER(MATCH(B231,Pages!$B$2:$B$98,0)),"Yes","Check")</f>
        <v>Yes</v>
      </c>
    </row>
    <row r="232" customFormat="false" ht="15" hidden="false" customHeight="false" outlineLevel="0" collapsed="false">
      <c r="A232" s="15" t="s">
        <v>217</v>
      </c>
      <c r="B232" s="15" t="s">
        <v>908</v>
      </c>
      <c r="C232" s="15" t="s">
        <v>1627</v>
      </c>
      <c r="D232" s="15" t="str">
        <f aca="false">IF(ISNUMBER(MATCH(B232,Pages!$B$2:$B$98,0)),"Yes","Check")</f>
        <v>Yes</v>
      </c>
    </row>
    <row r="233" customFormat="false" ht="15" hidden="false" customHeight="false" outlineLevel="0" collapsed="false">
      <c r="A233" s="15" t="s">
        <v>217</v>
      </c>
      <c r="B233" s="15" t="s">
        <v>748</v>
      </c>
      <c r="C233" s="15" t="s">
        <v>1616</v>
      </c>
      <c r="D233" s="15" t="str">
        <f aca="false">IF(ISNUMBER(MATCH(B233,Pages!$B$2:$B$98,0)),"Yes","Check")</f>
        <v>Yes</v>
      </c>
    </row>
    <row r="234" customFormat="false" ht="15" hidden="false" customHeight="false" outlineLevel="0" collapsed="false">
      <c r="A234" s="15" t="s">
        <v>217</v>
      </c>
      <c r="B234" s="15" t="s">
        <v>116</v>
      </c>
      <c r="C234" s="15" t="s">
        <v>1483</v>
      </c>
      <c r="D234" s="15" t="str">
        <f aca="false">IF(ISNUMBER(MATCH(B234,Pages!$B$2:$B$98,0)),"Yes","Check")</f>
        <v>Yes</v>
      </c>
    </row>
    <row r="235" customFormat="false" ht="15" hidden="false" customHeight="false" outlineLevel="0" collapsed="false">
      <c r="A235" s="15" t="s">
        <v>228</v>
      </c>
      <c r="B235" s="15" t="s">
        <v>267</v>
      </c>
      <c r="C235" s="15" t="s">
        <v>1628</v>
      </c>
      <c r="D235" s="15" t="str">
        <f aca="false">IF(ISNUMBER(MATCH(B235,Pages!$B$2:$B$98,0)),"Yes","Check")</f>
        <v>Yes</v>
      </c>
    </row>
    <row r="236" customFormat="false" ht="15" hidden="false" customHeight="false" outlineLevel="0" collapsed="false">
      <c r="A236" s="15" t="s">
        <v>228</v>
      </c>
      <c r="B236" s="15" t="s">
        <v>450</v>
      </c>
      <c r="C236" s="15" t="s">
        <v>1492</v>
      </c>
      <c r="D236" s="15" t="str">
        <f aca="false">IF(ISNUMBER(MATCH(B236,Pages!$B$2:$B$98,0)),"Yes","Check")</f>
        <v>Yes</v>
      </c>
    </row>
    <row r="237" customFormat="false" ht="15" hidden="false" customHeight="false" outlineLevel="0" collapsed="false">
      <c r="A237" s="15" t="s">
        <v>228</v>
      </c>
      <c r="B237" s="15" t="s">
        <v>662</v>
      </c>
      <c r="C237" s="15" t="s">
        <v>1611</v>
      </c>
      <c r="D237" s="15" t="str">
        <f aca="false">IF(ISNUMBER(MATCH(B237,Pages!$B$2:$B$98,0)),"Yes","Check")</f>
        <v>Yes</v>
      </c>
    </row>
    <row r="238" customFormat="false" ht="15" hidden="false" customHeight="false" outlineLevel="0" collapsed="false">
      <c r="A238" s="15" t="s">
        <v>228</v>
      </c>
      <c r="B238" s="15" t="s">
        <v>748</v>
      </c>
      <c r="C238" s="15" t="s">
        <v>752</v>
      </c>
      <c r="D238" s="15" t="str">
        <f aca="false">IF(ISNUMBER(MATCH(B238,Pages!$B$2:$B$98,0)),"Yes","Check")</f>
        <v>Yes</v>
      </c>
    </row>
    <row r="239" customFormat="false" ht="15" hidden="false" customHeight="false" outlineLevel="0" collapsed="false">
      <c r="A239" s="15" t="s">
        <v>228</v>
      </c>
      <c r="B239" s="15" t="s">
        <v>183</v>
      </c>
      <c r="C239" s="15" t="s">
        <v>1506</v>
      </c>
      <c r="D239" s="15" t="str">
        <f aca="false">IF(ISNUMBER(MATCH(B239,Pages!$B$2:$B$98,0)),"Yes","Check")</f>
        <v>Yes</v>
      </c>
    </row>
    <row r="240" customFormat="false" ht="15" hidden="false" customHeight="false" outlineLevel="0" collapsed="false">
      <c r="A240" s="15" t="s">
        <v>228</v>
      </c>
      <c r="B240" s="15" t="s">
        <v>116</v>
      </c>
      <c r="C240" s="15" t="s">
        <v>1605</v>
      </c>
      <c r="D240" s="15" t="str">
        <f aca="false">IF(ISNUMBER(MATCH(B240,Pages!$B$2:$B$98,0)),"Yes","Check")</f>
        <v>Yes</v>
      </c>
    </row>
    <row r="241" customFormat="false" ht="23.85" hidden="false" customHeight="false" outlineLevel="0" collapsed="false">
      <c r="A241" s="15" t="s">
        <v>228</v>
      </c>
      <c r="B241" s="15" t="s">
        <v>267</v>
      </c>
      <c r="C241" s="15" t="s">
        <v>1629</v>
      </c>
      <c r="D241" s="15" t="str">
        <f aca="false">IF(ISNUMBER(MATCH(B241,Pages!$B$2:$B$98,0)),"Yes","Check")</f>
        <v>Yes</v>
      </c>
    </row>
    <row r="242" customFormat="false" ht="15" hidden="false" customHeight="false" outlineLevel="0" collapsed="false">
      <c r="A242" s="15" t="s">
        <v>228</v>
      </c>
      <c r="B242" s="15" t="s">
        <v>450</v>
      </c>
      <c r="C242" s="15" t="s">
        <v>1630</v>
      </c>
      <c r="D242" s="15" t="str">
        <f aca="false">IF(ISNUMBER(MATCH(B242,Pages!$B$2:$B$98,0)),"Yes","Check")</f>
        <v>Yes</v>
      </c>
    </row>
    <row r="243" customFormat="false" ht="23.85" hidden="false" customHeight="false" outlineLevel="0" collapsed="false">
      <c r="A243" s="15" t="s">
        <v>228</v>
      </c>
      <c r="B243" s="15" t="s">
        <v>662</v>
      </c>
      <c r="C243" s="15" t="s">
        <v>1615</v>
      </c>
      <c r="D243" s="15" t="str">
        <f aca="false">IF(ISNUMBER(MATCH(B243,Pages!$B$2:$B$98,0)),"Yes","Check")</f>
        <v>Yes</v>
      </c>
    </row>
    <row r="244" customFormat="false" ht="15" hidden="false" customHeight="false" outlineLevel="0" collapsed="false">
      <c r="A244" s="15" t="s">
        <v>228</v>
      </c>
      <c r="B244" s="15" t="s">
        <v>748</v>
      </c>
      <c r="C244" s="15" t="s">
        <v>1616</v>
      </c>
      <c r="D244" s="15" t="str">
        <f aca="false">IF(ISNUMBER(MATCH(B244,Pages!$B$2:$B$98,0)),"Yes","Check")</f>
        <v>Yes</v>
      </c>
    </row>
    <row r="245" customFormat="false" ht="15" hidden="false" customHeight="false" outlineLevel="0" collapsed="false">
      <c r="A245" s="15" t="s">
        <v>228</v>
      </c>
      <c r="B245" s="15" t="s">
        <v>116</v>
      </c>
      <c r="C245" s="15" t="s">
        <v>1483</v>
      </c>
      <c r="D245" s="15" t="str">
        <f aca="false">IF(ISNUMBER(MATCH(B245,Pages!$B$2:$B$98,0)),"Yes","Check")</f>
        <v>Yes</v>
      </c>
    </row>
    <row r="246" customFormat="false" ht="15" hidden="false" customHeight="false" outlineLevel="0" collapsed="false">
      <c r="A246" s="15" t="s">
        <v>237</v>
      </c>
      <c r="B246" s="15" t="s">
        <v>531</v>
      </c>
      <c r="C246" s="15" t="s">
        <v>1631</v>
      </c>
      <c r="D246" s="15" t="str">
        <f aca="false">IF(ISNUMBER(MATCH(B246,Pages!$B$2:$B$98,0)),"Yes","Check")</f>
        <v>Yes</v>
      </c>
    </row>
    <row r="247" customFormat="false" ht="15" hidden="false" customHeight="false" outlineLevel="0" collapsed="false">
      <c r="A247" s="15" t="s">
        <v>237</v>
      </c>
      <c r="B247" s="15" t="s">
        <v>183</v>
      </c>
      <c r="C247" s="15" t="s">
        <v>1632</v>
      </c>
      <c r="D247" s="15" t="str">
        <f aca="false">IF(ISNUMBER(MATCH(B247,Pages!$B$2:$B$98,0)),"Yes","Check")</f>
        <v>Yes</v>
      </c>
    </row>
    <row r="248" customFormat="false" ht="15" hidden="false" customHeight="false" outlineLevel="0" collapsed="false">
      <c r="A248" s="15" t="s">
        <v>237</v>
      </c>
      <c r="B248" s="15" t="s">
        <v>810</v>
      </c>
      <c r="C248" s="15" t="s">
        <v>1633</v>
      </c>
      <c r="D248" s="15" t="str">
        <f aca="false">IF(ISNUMBER(MATCH(B248,Pages!$B$2:$B$98,0)),"Yes","Check")</f>
        <v>Yes</v>
      </c>
    </row>
    <row r="249" customFormat="false" ht="15" hidden="false" customHeight="false" outlineLevel="0" collapsed="false">
      <c r="A249" s="15" t="s">
        <v>237</v>
      </c>
      <c r="B249" s="15" t="s">
        <v>540</v>
      </c>
      <c r="C249" s="15" t="s">
        <v>1634</v>
      </c>
      <c r="D249" s="15" t="str">
        <f aca="false">IF(ISNUMBER(MATCH(B249,Pages!$B$2:$B$98,0)),"Yes","Check")</f>
        <v>Yes</v>
      </c>
    </row>
    <row r="250" customFormat="false" ht="15" hidden="false" customHeight="false" outlineLevel="0" collapsed="false">
      <c r="A250" s="15" t="s">
        <v>237</v>
      </c>
      <c r="B250" s="15" t="s">
        <v>349</v>
      </c>
      <c r="C250" s="15" t="s">
        <v>1635</v>
      </c>
      <c r="D250" s="15" t="str">
        <f aca="false">IF(ISNUMBER(MATCH(B250,Pages!$B$2:$B$98,0)),"Yes","Check")</f>
        <v>Yes</v>
      </c>
    </row>
    <row r="251" customFormat="false" ht="15" hidden="false" customHeight="false" outlineLevel="0" collapsed="false">
      <c r="A251" s="15" t="s">
        <v>237</v>
      </c>
      <c r="B251" s="15" t="s">
        <v>450</v>
      </c>
      <c r="C251" s="15" t="s">
        <v>1492</v>
      </c>
      <c r="D251" s="15" t="str">
        <f aca="false">IF(ISNUMBER(MATCH(B251,Pages!$B$2:$B$98,0)),"Yes","Check")</f>
        <v>Yes</v>
      </c>
    </row>
    <row r="252" customFormat="false" ht="15" hidden="false" customHeight="false" outlineLevel="0" collapsed="false">
      <c r="A252" s="15" t="s">
        <v>237</v>
      </c>
      <c r="B252" s="15" t="s">
        <v>304</v>
      </c>
      <c r="C252" s="15" t="s">
        <v>1636</v>
      </c>
      <c r="D252" s="15" t="str">
        <f aca="false">IF(ISNUMBER(MATCH(B252,Pages!$B$2:$B$98,0)),"Yes","Check")</f>
        <v>Yes</v>
      </c>
    </row>
    <row r="253" customFormat="false" ht="15" hidden="false" customHeight="false" outlineLevel="0" collapsed="false">
      <c r="A253" s="15" t="s">
        <v>237</v>
      </c>
      <c r="B253" s="15" t="s">
        <v>116</v>
      </c>
      <c r="C253" s="15" t="s">
        <v>1605</v>
      </c>
      <c r="D253" s="15" t="str">
        <f aca="false">IF(ISNUMBER(MATCH(B253,Pages!$B$2:$B$98,0)),"Yes","Check")</f>
        <v>Yes</v>
      </c>
    </row>
    <row r="254" customFormat="false" ht="15" hidden="false" customHeight="false" outlineLevel="0" collapsed="false">
      <c r="A254" s="15" t="s">
        <v>237</v>
      </c>
      <c r="B254" s="15" t="s">
        <v>304</v>
      </c>
      <c r="C254" s="15" t="s">
        <v>1637</v>
      </c>
      <c r="D254" s="15" t="str">
        <f aca="false">IF(ISNUMBER(MATCH(B254,Pages!$B$2:$B$98,0)),"Yes","Check")</f>
        <v>Yes</v>
      </c>
    </row>
    <row r="255" customFormat="false" ht="23.85" hidden="false" customHeight="false" outlineLevel="0" collapsed="false">
      <c r="A255" s="15" t="s">
        <v>237</v>
      </c>
      <c r="B255" s="15" t="s">
        <v>349</v>
      </c>
      <c r="C255" s="15" t="s">
        <v>1638</v>
      </c>
      <c r="D255" s="15" t="str">
        <f aca="false">IF(ISNUMBER(MATCH(B255,Pages!$B$2:$B$98,0)),"Yes","Check")</f>
        <v>Yes</v>
      </c>
    </row>
    <row r="256" customFormat="false" ht="23.85" hidden="false" customHeight="false" outlineLevel="0" collapsed="false">
      <c r="A256" s="15" t="s">
        <v>237</v>
      </c>
      <c r="B256" s="15" t="s">
        <v>540</v>
      </c>
      <c r="C256" s="15" t="s">
        <v>1639</v>
      </c>
      <c r="D256" s="15" t="str">
        <f aca="false">IF(ISNUMBER(MATCH(B256,Pages!$B$2:$B$98,0)),"Yes","Check")</f>
        <v>Yes</v>
      </c>
    </row>
    <row r="257" customFormat="false" ht="15" hidden="false" customHeight="false" outlineLevel="0" collapsed="false">
      <c r="A257" s="15" t="s">
        <v>237</v>
      </c>
      <c r="B257" s="15" t="s">
        <v>810</v>
      </c>
      <c r="C257" s="15" t="s">
        <v>1640</v>
      </c>
      <c r="D257" s="15" t="str">
        <f aca="false">IF(ISNUMBER(MATCH(B257,Pages!$B$2:$B$98,0)),"Yes","Check")</f>
        <v>Yes</v>
      </c>
    </row>
    <row r="258" customFormat="false" ht="15" hidden="false" customHeight="false" outlineLevel="0" collapsed="false">
      <c r="A258" s="15" t="s">
        <v>237</v>
      </c>
      <c r="B258" s="15" t="s">
        <v>748</v>
      </c>
      <c r="C258" s="15" t="s">
        <v>1616</v>
      </c>
      <c r="D258" s="15" t="str">
        <f aca="false">IF(ISNUMBER(MATCH(B258,Pages!$B$2:$B$98,0)),"Yes","Check")</f>
        <v>Yes</v>
      </c>
    </row>
    <row r="259" customFormat="false" ht="15" hidden="false" customHeight="false" outlineLevel="0" collapsed="false">
      <c r="A259" s="15" t="s">
        <v>237</v>
      </c>
      <c r="B259" s="15" t="s">
        <v>116</v>
      </c>
      <c r="C259" s="15" t="s">
        <v>1483</v>
      </c>
      <c r="D259" s="15" t="str">
        <f aca="false">IF(ISNUMBER(MATCH(B259,Pages!$B$2:$B$98,0)),"Yes","Check")</f>
        <v>Yes</v>
      </c>
    </row>
    <row r="260" customFormat="false" ht="15" hidden="false" customHeight="false" outlineLevel="0" collapsed="false">
      <c r="A260" s="15" t="s">
        <v>246</v>
      </c>
      <c r="B260" s="15" t="s">
        <v>183</v>
      </c>
      <c r="C260" s="15" t="s">
        <v>1641</v>
      </c>
      <c r="D260" s="15" t="str">
        <f aca="false">IF(ISNUMBER(MATCH(B260,Pages!$B$2:$B$98,0)),"Yes","Check")</f>
        <v>Yes</v>
      </c>
    </row>
    <row r="261" customFormat="false" ht="15" hidden="false" customHeight="false" outlineLevel="0" collapsed="false">
      <c r="A261" s="15" t="s">
        <v>246</v>
      </c>
      <c r="B261" s="15" t="s">
        <v>855</v>
      </c>
      <c r="C261" s="15" t="s">
        <v>1642</v>
      </c>
      <c r="D261" s="15" t="str">
        <f aca="false">IF(ISNUMBER(MATCH(B261,Pages!$B$2:$B$98,0)),"Yes","Check")</f>
        <v>Yes</v>
      </c>
    </row>
    <row r="262" customFormat="false" ht="15" hidden="false" customHeight="false" outlineLevel="0" collapsed="false">
      <c r="A262" s="15" t="s">
        <v>246</v>
      </c>
      <c r="B262" s="15" t="s">
        <v>450</v>
      </c>
      <c r="C262" s="15" t="s">
        <v>1482</v>
      </c>
      <c r="D262" s="15" t="str">
        <f aca="false">IF(ISNUMBER(MATCH(B262,Pages!$B$2:$B$98,0)),"Yes","Check")</f>
        <v>Yes</v>
      </c>
    </row>
    <row r="263" customFormat="false" ht="15" hidden="false" customHeight="false" outlineLevel="0" collapsed="false">
      <c r="A263" s="15" t="s">
        <v>246</v>
      </c>
      <c r="B263" s="15" t="s">
        <v>899</v>
      </c>
      <c r="C263" s="15" t="s">
        <v>1643</v>
      </c>
      <c r="D263" s="15" t="str">
        <f aca="false">IF(ISNUMBER(MATCH(B263,Pages!$B$2:$B$98,0)),"Yes","Check")</f>
        <v>Yes</v>
      </c>
    </row>
    <row r="264" customFormat="false" ht="15" hidden="false" customHeight="false" outlineLevel="0" collapsed="false">
      <c r="A264" s="15" t="s">
        <v>246</v>
      </c>
      <c r="B264" s="15" t="s">
        <v>540</v>
      </c>
      <c r="C264" s="15" t="s">
        <v>1644</v>
      </c>
      <c r="D264" s="15" t="str">
        <f aca="false">IF(ISNUMBER(MATCH(B264,Pages!$B$2:$B$98,0)),"Yes","Check")</f>
        <v>Yes</v>
      </c>
    </row>
    <row r="265" customFormat="false" ht="15" hidden="false" customHeight="false" outlineLevel="0" collapsed="false">
      <c r="A265" s="15" t="s">
        <v>246</v>
      </c>
      <c r="B265" s="15" t="s">
        <v>783</v>
      </c>
      <c r="C265" s="15" t="s">
        <v>1645</v>
      </c>
      <c r="D265" s="15" t="str">
        <f aca="false">IF(ISNUMBER(MATCH(B265,Pages!$B$2:$B$98,0)),"Yes","Check")</f>
        <v>Yes</v>
      </c>
    </row>
    <row r="266" customFormat="false" ht="15" hidden="false" customHeight="false" outlineLevel="0" collapsed="false">
      <c r="A266" s="15" t="s">
        <v>246</v>
      </c>
      <c r="B266" s="15" t="s">
        <v>116</v>
      </c>
      <c r="C266" s="15" t="s">
        <v>1605</v>
      </c>
      <c r="D266" s="15" t="str">
        <f aca="false">IF(ISNUMBER(MATCH(B266,Pages!$B$2:$B$98,0)),"Yes","Check")</f>
        <v>Yes</v>
      </c>
    </row>
    <row r="267" customFormat="false" ht="15" hidden="false" customHeight="false" outlineLevel="0" collapsed="false">
      <c r="A267" s="15" t="s">
        <v>246</v>
      </c>
      <c r="B267" s="15" t="s">
        <v>783</v>
      </c>
      <c r="C267" s="15" t="s">
        <v>1646</v>
      </c>
      <c r="D267" s="15" t="str">
        <f aca="false">IF(ISNUMBER(MATCH(B267,Pages!$B$2:$B$98,0)),"Yes","Check")</f>
        <v>Yes</v>
      </c>
    </row>
    <row r="268" customFormat="false" ht="23.85" hidden="false" customHeight="false" outlineLevel="0" collapsed="false">
      <c r="A268" s="15" t="s">
        <v>246</v>
      </c>
      <c r="B268" s="15" t="s">
        <v>855</v>
      </c>
      <c r="C268" s="15" t="s">
        <v>1647</v>
      </c>
      <c r="D268" s="15" t="str">
        <f aca="false">IF(ISNUMBER(MATCH(B268,Pages!$B$2:$B$98,0)),"Yes","Check")</f>
        <v>Yes</v>
      </c>
    </row>
    <row r="269" customFormat="false" ht="23.85" hidden="false" customHeight="false" outlineLevel="0" collapsed="false">
      <c r="A269" s="15" t="s">
        <v>246</v>
      </c>
      <c r="B269" s="15" t="s">
        <v>899</v>
      </c>
      <c r="C269" s="15" t="s">
        <v>1648</v>
      </c>
      <c r="D269" s="15" t="str">
        <f aca="false">IF(ISNUMBER(MATCH(B269,Pages!$B$2:$B$98,0)),"Yes","Check")</f>
        <v>Yes</v>
      </c>
    </row>
    <row r="270" customFormat="false" ht="15" hidden="false" customHeight="false" outlineLevel="0" collapsed="false">
      <c r="A270" s="15" t="s">
        <v>246</v>
      </c>
      <c r="B270" s="15" t="s">
        <v>116</v>
      </c>
      <c r="C270" s="15" t="s">
        <v>1483</v>
      </c>
      <c r="D270" s="15" t="str">
        <f aca="false">IF(ISNUMBER(MATCH(B270,Pages!$B$2:$B$98,0)),"Yes","Check")</f>
        <v>Yes</v>
      </c>
    </row>
    <row r="271" customFormat="false" ht="15" hidden="false" customHeight="false" outlineLevel="0" collapsed="false">
      <c r="A271" s="15" t="s">
        <v>257</v>
      </c>
      <c r="B271" s="15" t="s">
        <v>504</v>
      </c>
      <c r="C271" s="15" t="s">
        <v>1649</v>
      </c>
      <c r="D271" s="15" t="str">
        <f aca="false">IF(ISNUMBER(MATCH(B271,Pages!$B$2:$B$98,0)),"Yes","Check")</f>
        <v>Yes</v>
      </c>
    </row>
    <row r="272" customFormat="false" ht="15" hidden="false" customHeight="false" outlineLevel="0" collapsed="false">
      <c r="A272" s="15" t="s">
        <v>257</v>
      </c>
      <c r="B272" s="15" t="s">
        <v>926</v>
      </c>
      <c r="C272" s="15" t="s">
        <v>1650</v>
      </c>
      <c r="D272" s="15" t="str">
        <f aca="false">IF(ISNUMBER(MATCH(B272,Pages!$B$2:$B$98,0)),"Yes","Check")</f>
        <v>Yes</v>
      </c>
    </row>
    <row r="273" customFormat="false" ht="15" hidden="false" customHeight="false" outlineLevel="0" collapsed="false">
      <c r="A273" s="15" t="s">
        <v>257</v>
      </c>
      <c r="B273" s="15" t="s">
        <v>459</v>
      </c>
      <c r="C273" s="15" t="s">
        <v>1651</v>
      </c>
      <c r="D273" s="15" t="str">
        <f aca="false">IF(ISNUMBER(MATCH(B273,Pages!$B$2:$B$98,0)),"Yes","Check")</f>
        <v>Yes</v>
      </c>
    </row>
    <row r="274" customFormat="false" ht="15" hidden="false" customHeight="false" outlineLevel="0" collapsed="false">
      <c r="A274" s="15" t="s">
        <v>257</v>
      </c>
      <c r="B274" s="15" t="s">
        <v>679</v>
      </c>
      <c r="C274" s="15" t="s">
        <v>1652</v>
      </c>
      <c r="D274" s="15" t="str">
        <f aca="false">IF(ISNUMBER(MATCH(B274,Pages!$B$2:$B$98,0)),"Yes","Check")</f>
        <v>Yes</v>
      </c>
    </row>
    <row r="275" customFormat="false" ht="15" hidden="false" customHeight="false" outlineLevel="0" collapsed="false">
      <c r="A275" s="15" t="s">
        <v>257</v>
      </c>
      <c r="B275" s="15" t="s">
        <v>593</v>
      </c>
      <c r="C275" s="15" t="s">
        <v>1653</v>
      </c>
      <c r="D275" s="15" t="str">
        <f aca="false">IF(ISNUMBER(MATCH(B275,Pages!$B$2:$B$98,0)),"Yes","Check")</f>
        <v>Yes</v>
      </c>
    </row>
    <row r="276" customFormat="false" ht="15" hidden="false" customHeight="false" outlineLevel="0" collapsed="false">
      <c r="A276" s="15" t="s">
        <v>257</v>
      </c>
      <c r="B276" s="15" t="s">
        <v>748</v>
      </c>
      <c r="C276" s="15" t="s">
        <v>1654</v>
      </c>
      <c r="D276" s="15" t="str">
        <f aca="false">IF(ISNUMBER(MATCH(B276,Pages!$B$2:$B$98,0)),"Yes","Check")</f>
        <v>Yes</v>
      </c>
    </row>
    <row r="277" customFormat="false" ht="15" hidden="false" customHeight="false" outlineLevel="0" collapsed="false">
      <c r="A277" s="15" t="s">
        <v>257</v>
      </c>
      <c r="B277" s="15" t="s">
        <v>183</v>
      </c>
      <c r="C277" s="15" t="s">
        <v>1506</v>
      </c>
      <c r="D277" s="15" t="str">
        <f aca="false">IF(ISNUMBER(MATCH(B277,Pages!$B$2:$B$98,0)),"Yes","Check")</f>
        <v>Yes</v>
      </c>
    </row>
    <row r="278" customFormat="false" ht="15" hidden="false" customHeight="false" outlineLevel="0" collapsed="false">
      <c r="A278" s="15" t="s">
        <v>257</v>
      </c>
      <c r="B278" s="15" t="s">
        <v>116</v>
      </c>
      <c r="C278" s="15" t="s">
        <v>1605</v>
      </c>
      <c r="D278" s="15" t="str">
        <f aca="false">IF(ISNUMBER(MATCH(B278,Pages!$B$2:$B$98,0)),"Yes","Check")</f>
        <v>Yes</v>
      </c>
    </row>
    <row r="279" customFormat="false" ht="23.85" hidden="false" customHeight="false" outlineLevel="0" collapsed="false">
      <c r="A279" s="15" t="s">
        <v>257</v>
      </c>
      <c r="B279" s="15" t="s">
        <v>504</v>
      </c>
      <c r="C279" s="15" t="s">
        <v>1655</v>
      </c>
      <c r="D279" s="15" t="str">
        <f aca="false">IF(ISNUMBER(MATCH(B279,Pages!$B$2:$B$98,0)),"Yes","Check")</f>
        <v>Yes</v>
      </c>
    </row>
    <row r="280" customFormat="false" ht="15" hidden="false" customHeight="false" outlineLevel="0" collapsed="false">
      <c r="A280" s="15" t="s">
        <v>257</v>
      </c>
      <c r="B280" s="15" t="s">
        <v>679</v>
      </c>
      <c r="C280" s="15" t="s">
        <v>1656</v>
      </c>
      <c r="D280" s="15" t="str">
        <f aca="false">IF(ISNUMBER(MATCH(B280,Pages!$B$2:$B$98,0)),"Yes","Check")</f>
        <v>Yes</v>
      </c>
    </row>
    <row r="281" customFormat="false" ht="15" hidden="false" customHeight="false" outlineLevel="0" collapsed="false">
      <c r="A281" s="15" t="s">
        <v>257</v>
      </c>
      <c r="B281" s="15" t="s">
        <v>748</v>
      </c>
      <c r="C281" s="15" t="s">
        <v>1616</v>
      </c>
      <c r="D281" s="15" t="str">
        <f aca="false">IF(ISNUMBER(MATCH(B281,Pages!$B$2:$B$98,0)),"Yes","Check")</f>
        <v>Yes</v>
      </c>
    </row>
    <row r="282" customFormat="false" ht="15" hidden="false" customHeight="false" outlineLevel="0" collapsed="false">
      <c r="A282" s="15" t="s">
        <v>257</v>
      </c>
      <c r="B282" s="15" t="s">
        <v>926</v>
      </c>
      <c r="C282" s="15" t="s">
        <v>1657</v>
      </c>
      <c r="D282" s="15" t="str">
        <f aca="false">IF(ISNUMBER(MATCH(B282,Pages!$B$2:$B$98,0)),"Yes","Check")</f>
        <v>Yes</v>
      </c>
    </row>
    <row r="283" customFormat="false" ht="15" hidden="false" customHeight="false" outlineLevel="0" collapsed="false">
      <c r="A283" s="15" t="s">
        <v>257</v>
      </c>
      <c r="B283" s="15" t="s">
        <v>116</v>
      </c>
      <c r="C283" s="15" t="s">
        <v>1483</v>
      </c>
      <c r="D283" s="15" t="str">
        <f aca="false">IF(ISNUMBER(MATCH(B283,Pages!$B$2:$B$98,0)),"Yes","Check")</f>
        <v>Yes</v>
      </c>
    </row>
    <row r="284" customFormat="false" ht="15" hidden="false" customHeight="false" outlineLevel="0" collapsed="false">
      <c r="A284" s="15" t="s">
        <v>267</v>
      </c>
      <c r="B284" s="15" t="s">
        <v>459</v>
      </c>
      <c r="C284" s="15" t="s">
        <v>1658</v>
      </c>
      <c r="D284" s="15" t="str">
        <f aca="false">IF(ISNUMBER(MATCH(B284,Pages!$B$2:$B$98,0)),"Yes","Check")</f>
        <v>Yes</v>
      </c>
    </row>
    <row r="285" customFormat="false" ht="15" hidden="false" customHeight="false" outlineLevel="0" collapsed="false">
      <c r="A285" s="15" t="s">
        <v>267</v>
      </c>
      <c r="B285" s="15" t="s">
        <v>349</v>
      </c>
      <c r="C285" s="15" t="s">
        <v>1635</v>
      </c>
      <c r="D285" s="15" t="str">
        <f aca="false">IF(ISNUMBER(MATCH(B285,Pages!$B$2:$B$98,0)),"Yes","Check")</f>
        <v>Yes</v>
      </c>
    </row>
    <row r="286" customFormat="false" ht="15" hidden="false" customHeight="false" outlineLevel="0" collapsed="false">
      <c r="A286" s="15" t="s">
        <v>267</v>
      </c>
      <c r="B286" s="15" t="s">
        <v>237</v>
      </c>
      <c r="C286" s="15" t="s">
        <v>1659</v>
      </c>
      <c r="D286" s="15" t="str">
        <f aca="false">IF(ISNUMBER(MATCH(B286,Pages!$B$2:$B$98,0)),"Yes","Check")</f>
        <v>Yes</v>
      </c>
    </row>
    <row r="287" customFormat="false" ht="15" hidden="false" customHeight="false" outlineLevel="0" collapsed="false">
      <c r="A287" s="15" t="s">
        <v>267</v>
      </c>
      <c r="B287" s="15" t="s">
        <v>748</v>
      </c>
      <c r="C287" s="15" t="s">
        <v>1654</v>
      </c>
      <c r="D287" s="15" t="str">
        <f aca="false">IF(ISNUMBER(MATCH(B287,Pages!$B$2:$B$98,0)),"Yes","Check")</f>
        <v>Yes</v>
      </c>
    </row>
    <row r="288" customFormat="false" ht="15" hidden="false" customHeight="false" outlineLevel="0" collapsed="false">
      <c r="A288" s="15" t="s">
        <v>267</v>
      </c>
      <c r="B288" s="15" t="s">
        <v>138</v>
      </c>
      <c r="C288" s="15" t="s">
        <v>1660</v>
      </c>
      <c r="D288" s="15" t="str">
        <f aca="false">IF(ISNUMBER(MATCH(B288,Pages!$B$2:$B$98,0)),"Yes","Check")</f>
        <v>Yes</v>
      </c>
    </row>
    <row r="289" customFormat="false" ht="15" hidden="false" customHeight="false" outlineLevel="0" collapsed="false">
      <c r="A289" s="15" t="s">
        <v>267</v>
      </c>
      <c r="B289" s="15" t="s">
        <v>116</v>
      </c>
      <c r="C289" s="15" t="s">
        <v>1605</v>
      </c>
      <c r="D289" s="15" t="str">
        <f aca="false">IF(ISNUMBER(MATCH(B289,Pages!$B$2:$B$98,0)),"Yes","Check")</f>
        <v>Yes</v>
      </c>
    </row>
    <row r="290" customFormat="false" ht="23.85" hidden="false" customHeight="false" outlineLevel="0" collapsed="false">
      <c r="A290" s="15" t="s">
        <v>267</v>
      </c>
      <c r="B290" s="15" t="s">
        <v>237</v>
      </c>
      <c r="C290" s="15" t="s">
        <v>1661</v>
      </c>
      <c r="D290" s="15" t="str">
        <f aca="false">IF(ISNUMBER(MATCH(B290,Pages!$B$2:$B$98,0)),"Yes","Check")</f>
        <v>Yes</v>
      </c>
    </row>
    <row r="291" customFormat="false" ht="23.85" hidden="false" customHeight="false" outlineLevel="0" collapsed="false">
      <c r="A291" s="15" t="s">
        <v>267</v>
      </c>
      <c r="B291" s="15" t="s">
        <v>349</v>
      </c>
      <c r="C291" s="15" t="s">
        <v>1638</v>
      </c>
      <c r="D291" s="15" t="str">
        <f aca="false">IF(ISNUMBER(MATCH(B291,Pages!$B$2:$B$98,0)),"Yes","Check")</f>
        <v>Yes</v>
      </c>
    </row>
    <row r="292" customFormat="false" ht="23.85" hidden="false" customHeight="false" outlineLevel="0" collapsed="false">
      <c r="A292" s="15" t="s">
        <v>267</v>
      </c>
      <c r="B292" s="15" t="s">
        <v>459</v>
      </c>
      <c r="C292" s="15" t="s">
        <v>1625</v>
      </c>
      <c r="D292" s="15" t="str">
        <f aca="false">IF(ISNUMBER(MATCH(B292,Pages!$B$2:$B$98,0)),"Yes","Check")</f>
        <v>Yes</v>
      </c>
    </row>
    <row r="293" customFormat="false" ht="15" hidden="false" customHeight="false" outlineLevel="0" collapsed="false">
      <c r="A293" s="15" t="s">
        <v>267</v>
      </c>
      <c r="B293" s="15" t="s">
        <v>748</v>
      </c>
      <c r="C293" s="15" t="s">
        <v>1616</v>
      </c>
      <c r="D293" s="15" t="str">
        <f aca="false">IF(ISNUMBER(MATCH(B293,Pages!$B$2:$B$98,0)),"Yes","Check")</f>
        <v>Yes</v>
      </c>
    </row>
    <row r="294" customFormat="false" ht="15" hidden="false" customHeight="false" outlineLevel="0" collapsed="false">
      <c r="A294" s="15" t="s">
        <v>267</v>
      </c>
      <c r="B294" s="15" t="s">
        <v>740</v>
      </c>
      <c r="C294" s="15" t="s">
        <v>1662</v>
      </c>
      <c r="D294" s="15" t="str">
        <f aca="false">IF(ISNUMBER(MATCH(B294,Pages!$B$2:$B$98,0)),"Yes","Check")</f>
        <v>Yes</v>
      </c>
    </row>
    <row r="295" customFormat="false" ht="15" hidden="false" customHeight="false" outlineLevel="0" collapsed="false">
      <c r="A295" s="15" t="s">
        <v>267</v>
      </c>
      <c r="B295" s="15" t="s">
        <v>116</v>
      </c>
      <c r="C295" s="15" t="s">
        <v>1483</v>
      </c>
      <c r="D295" s="15" t="str">
        <f aca="false">IF(ISNUMBER(MATCH(B295,Pages!$B$2:$B$98,0)),"Yes","Check")</f>
        <v>Yes</v>
      </c>
    </row>
    <row r="296" customFormat="false" ht="15" hidden="false" customHeight="false" outlineLevel="0" collapsed="false">
      <c r="A296" s="15" t="s">
        <v>277</v>
      </c>
      <c r="B296" s="15" t="s">
        <v>183</v>
      </c>
      <c r="C296" s="15" t="s">
        <v>1641</v>
      </c>
      <c r="D296" s="15" t="str">
        <f aca="false">IF(ISNUMBER(MATCH(B296,Pages!$B$2:$B$98,0)),"Yes","Check")</f>
        <v>Yes</v>
      </c>
    </row>
    <row r="297" customFormat="false" ht="15" hidden="false" customHeight="false" outlineLevel="0" collapsed="false">
      <c r="A297" s="15" t="s">
        <v>277</v>
      </c>
      <c r="B297" s="15" t="s">
        <v>413</v>
      </c>
      <c r="C297" s="15" t="s">
        <v>1663</v>
      </c>
      <c r="D297" s="15" t="str">
        <f aca="false">IF(ISNUMBER(MATCH(B297,Pages!$B$2:$B$98,0)),"Yes","Check")</f>
        <v>Yes</v>
      </c>
    </row>
    <row r="298" customFormat="false" ht="15" hidden="false" customHeight="false" outlineLevel="0" collapsed="false">
      <c r="A298" s="15" t="s">
        <v>277</v>
      </c>
      <c r="B298" s="15" t="s">
        <v>873</v>
      </c>
      <c r="C298" s="15" t="s">
        <v>876</v>
      </c>
      <c r="D298" s="15" t="str">
        <f aca="false">IF(ISNUMBER(MATCH(B298,Pages!$B$2:$B$98,0)),"Yes","Check")</f>
        <v>Yes</v>
      </c>
    </row>
    <row r="299" customFormat="false" ht="15" hidden="false" customHeight="false" outlineLevel="0" collapsed="false">
      <c r="A299" s="15" t="s">
        <v>277</v>
      </c>
      <c r="B299" s="15" t="s">
        <v>828</v>
      </c>
      <c r="C299" s="15" t="s">
        <v>1664</v>
      </c>
      <c r="D299" s="15" t="str">
        <f aca="false">IF(ISNUMBER(MATCH(B299,Pages!$B$2:$B$98,0)),"Yes","Check")</f>
        <v>Yes</v>
      </c>
    </row>
    <row r="300" customFormat="false" ht="15" hidden="false" customHeight="false" outlineLevel="0" collapsed="false">
      <c r="A300" s="15" t="s">
        <v>277</v>
      </c>
      <c r="B300" s="15" t="s">
        <v>116</v>
      </c>
      <c r="C300" s="15" t="s">
        <v>1605</v>
      </c>
      <c r="D300" s="15" t="str">
        <f aca="false">IF(ISNUMBER(MATCH(B300,Pages!$B$2:$B$98,0)),"Yes","Check")</f>
        <v>Yes</v>
      </c>
    </row>
    <row r="301" customFormat="false" ht="23.85" hidden="false" customHeight="false" outlineLevel="0" collapsed="false">
      <c r="A301" s="15" t="s">
        <v>277</v>
      </c>
      <c r="B301" s="15" t="s">
        <v>413</v>
      </c>
      <c r="C301" s="15" t="s">
        <v>1665</v>
      </c>
      <c r="D301" s="15" t="str">
        <f aca="false">IF(ISNUMBER(MATCH(B301,Pages!$B$2:$B$98,0)),"Yes","Check")</f>
        <v>Yes</v>
      </c>
    </row>
    <row r="302" customFormat="false" ht="15" hidden="false" customHeight="false" outlineLevel="0" collapsed="false">
      <c r="A302" s="15" t="s">
        <v>277</v>
      </c>
      <c r="B302" s="15" t="s">
        <v>828</v>
      </c>
      <c r="C302" s="15" t="s">
        <v>1666</v>
      </c>
      <c r="D302" s="15" t="str">
        <f aca="false">IF(ISNUMBER(MATCH(B302,Pages!$B$2:$B$98,0)),"Yes","Check")</f>
        <v>Yes</v>
      </c>
    </row>
    <row r="303" customFormat="false" ht="15" hidden="false" customHeight="false" outlineLevel="0" collapsed="false">
      <c r="A303" s="15" t="s">
        <v>277</v>
      </c>
      <c r="B303" s="15" t="s">
        <v>873</v>
      </c>
      <c r="C303" s="15" t="s">
        <v>1667</v>
      </c>
      <c r="D303" s="15" t="str">
        <f aca="false">IF(ISNUMBER(MATCH(B303,Pages!$B$2:$B$98,0)),"Yes","Check")</f>
        <v>Yes</v>
      </c>
    </row>
    <row r="304" customFormat="false" ht="15" hidden="false" customHeight="false" outlineLevel="0" collapsed="false">
      <c r="A304" s="15" t="s">
        <v>277</v>
      </c>
      <c r="B304" s="15" t="s">
        <v>116</v>
      </c>
      <c r="C304" s="15" t="s">
        <v>1483</v>
      </c>
      <c r="D304" s="15" t="str">
        <f aca="false">IF(ISNUMBER(MATCH(B304,Pages!$B$2:$B$98,0)),"Yes","Check")</f>
        <v>Yes</v>
      </c>
    </row>
    <row r="305" customFormat="false" ht="15" hidden="false" customHeight="false" outlineLevel="0" collapsed="false">
      <c r="A305" s="15" t="s">
        <v>286</v>
      </c>
      <c r="B305" s="15" t="s">
        <v>313</v>
      </c>
      <c r="C305" s="15" t="s">
        <v>1668</v>
      </c>
      <c r="D305" s="15" t="str">
        <f aca="false">IF(ISNUMBER(MATCH(B305,Pages!$B$2:$B$98,0)),"Yes","Check")</f>
        <v>Yes</v>
      </c>
    </row>
    <row r="306" customFormat="false" ht="15" hidden="false" customHeight="false" outlineLevel="0" collapsed="false">
      <c r="A306" s="15" t="s">
        <v>286</v>
      </c>
      <c r="B306" s="15" t="s">
        <v>183</v>
      </c>
      <c r="C306" s="15" t="s">
        <v>1487</v>
      </c>
      <c r="D306" s="15" t="str">
        <f aca="false">IF(ISNUMBER(MATCH(B306,Pages!$B$2:$B$98,0)),"Yes","Check")</f>
        <v>Yes</v>
      </c>
    </row>
    <row r="307" customFormat="false" ht="15" hidden="false" customHeight="false" outlineLevel="0" collapsed="false">
      <c r="A307" s="15" t="s">
        <v>286</v>
      </c>
      <c r="B307" s="15" t="s">
        <v>792</v>
      </c>
      <c r="C307" s="15" t="s">
        <v>1621</v>
      </c>
      <c r="D307" s="15" t="str">
        <f aca="false">IF(ISNUMBER(MATCH(B307,Pages!$B$2:$B$98,0)),"Yes","Check")</f>
        <v>Yes</v>
      </c>
    </row>
    <row r="308" customFormat="false" ht="15" hidden="false" customHeight="false" outlineLevel="0" collapsed="false">
      <c r="A308" s="15" t="s">
        <v>286</v>
      </c>
      <c r="B308" s="15" t="s">
        <v>217</v>
      </c>
      <c r="C308" s="15" t="s">
        <v>1669</v>
      </c>
      <c r="D308" s="15" t="str">
        <f aca="false">IF(ISNUMBER(MATCH(B308,Pages!$B$2:$B$98,0)),"Yes","Check")</f>
        <v>Yes</v>
      </c>
    </row>
    <row r="309" customFormat="false" ht="15" hidden="false" customHeight="false" outlineLevel="0" collapsed="false">
      <c r="A309" s="15" t="s">
        <v>286</v>
      </c>
      <c r="B309" s="15" t="s">
        <v>237</v>
      </c>
      <c r="C309" s="15" t="s">
        <v>1670</v>
      </c>
      <c r="D309" s="15" t="str">
        <f aca="false">IF(ISNUMBER(MATCH(B309,Pages!$B$2:$B$98,0)),"Yes","Check")</f>
        <v>Yes</v>
      </c>
    </row>
    <row r="310" customFormat="false" ht="15" hidden="false" customHeight="false" outlineLevel="0" collapsed="false">
      <c r="A310" s="15" t="s">
        <v>286</v>
      </c>
      <c r="B310" s="15" t="s">
        <v>828</v>
      </c>
      <c r="C310" s="15" t="s">
        <v>1664</v>
      </c>
      <c r="D310" s="15" t="str">
        <f aca="false">IF(ISNUMBER(MATCH(B310,Pages!$B$2:$B$98,0)),"Yes","Check")</f>
        <v>Yes</v>
      </c>
    </row>
    <row r="311" customFormat="false" ht="15" hidden="false" customHeight="false" outlineLevel="0" collapsed="false">
      <c r="A311" s="15" t="s">
        <v>286</v>
      </c>
      <c r="B311" s="15" t="s">
        <v>116</v>
      </c>
      <c r="C311" s="15" t="s">
        <v>1605</v>
      </c>
      <c r="D311" s="15" t="str">
        <f aca="false">IF(ISNUMBER(MATCH(B311,Pages!$B$2:$B$98,0)),"Yes","Check")</f>
        <v>Yes</v>
      </c>
    </row>
    <row r="312" customFormat="false" ht="23.85" hidden="false" customHeight="false" outlineLevel="0" collapsed="false">
      <c r="A312" s="15" t="s">
        <v>286</v>
      </c>
      <c r="B312" s="15" t="s">
        <v>237</v>
      </c>
      <c r="C312" s="15" t="s">
        <v>1661</v>
      </c>
      <c r="D312" s="15" t="str">
        <f aca="false">IF(ISNUMBER(MATCH(B312,Pages!$B$2:$B$98,0)),"Yes","Check")</f>
        <v>Yes</v>
      </c>
    </row>
    <row r="313" customFormat="false" ht="23.85" hidden="false" customHeight="false" outlineLevel="0" collapsed="false">
      <c r="A313" s="15" t="s">
        <v>286</v>
      </c>
      <c r="B313" s="15" t="s">
        <v>313</v>
      </c>
      <c r="C313" s="15" t="s">
        <v>1671</v>
      </c>
      <c r="D313" s="15" t="str">
        <f aca="false">IF(ISNUMBER(MATCH(B313,Pages!$B$2:$B$98,0)),"Yes","Check")</f>
        <v>Yes</v>
      </c>
    </row>
    <row r="314" customFormat="false" ht="15" hidden="false" customHeight="false" outlineLevel="0" collapsed="false">
      <c r="A314" s="15" t="s">
        <v>286</v>
      </c>
      <c r="B314" s="15" t="s">
        <v>792</v>
      </c>
      <c r="C314" s="15" t="s">
        <v>1626</v>
      </c>
      <c r="D314" s="15" t="str">
        <f aca="false">IF(ISNUMBER(MATCH(B314,Pages!$B$2:$B$98,0)),"Yes","Check")</f>
        <v>Yes</v>
      </c>
    </row>
    <row r="315" customFormat="false" ht="15" hidden="false" customHeight="false" outlineLevel="0" collapsed="false">
      <c r="A315" s="15" t="s">
        <v>286</v>
      </c>
      <c r="B315" s="15" t="s">
        <v>828</v>
      </c>
      <c r="C315" s="15" t="s">
        <v>1666</v>
      </c>
      <c r="D315" s="15" t="str">
        <f aca="false">IF(ISNUMBER(MATCH(B315,Pages!$B$2:$B$98,0)),"Yes","Check")</f>
        <v>Yes</v>
      </c>
    </row>
    <row r="316" customFormat="false" ht="15" hidden="false" customHeight="false" outlineLevel="0" collapsed="false">
      <c r="A316" s="15" t="s">
        <v>286</v>
      </c>
      <c r="B316" s="15" t="s">
        <v>748</v>
      </c>
      <c r="C316" s="15" t="s">
        <v>1616</v>
      </c>
      <c r="D316" s="15" t="str">
        <f aca="false">IF(ISNUMBER(MATCH(B316,Pages!$B$2:$B$98,0)),"Yes","Check")</f>
        <v>Yes</v>
      </c>
    </row>
    <row r="317" customFormat="false" ht="15" hidden="false" customHeight="false" outlineLevel="0" collapsed="false">
      <c r="A317" s="15" t="s">
        <v>286</v>
      </c>
      <c r="B317" s="15" t="s">
        <v>116</v>
      </c>
      <c r="C317" s="15" t="s">
        <v>1483</v>
      </c>
      <c r="D317" s="15" t="str">
        <f aca="false">IF(ISNUMBER(MATCH(B317,Pages!$B$2:$B$98,0)),"Yes","Check")</f>
        <v>Yes</v>
      </c>
    </row>
    <row r="318" customFormat="false" ht="15" hidden="false" customHeight="false" outlineLevel="0" collapsed="false">
      <c r="A318" s="15" t="s">
        <v>295</v>
      </c>
      <c r="B318" s="15" t="s">
        <v>195</v>
      </c>
      <c r="C318" s="15" t="s">
        <v>1502</v>
      </c>
      <c r="D318" s="15" t="str">
        <f aca="false">IF(ISNUMBER(MATCH(B318,Pages!$B$2:$B$98,0)),"Yes","Check")</f>
        <v>Yes</v>
      </c>
    </row>
    <row r="319" customFormat="false" ht="15" hidden="false" customHeight="false" outlineLevel="0" collapsed="false">
      <c r="A319" s="15" t="s">
        <v>295</v>
      </c>
      <c r="B319" s="15" t="s">
        <v>125</v>
      </c>
      <c r="C319" s="15" t="s">
        <v>1672</v>
      </c>
      <c r="D319" s="15" t="str">
        <f aca="false">IF(ISNUMBER(MATCH(B319,Pages!$B$2:$B$98,0)),"Yes","Check")</f>
        <v>Yes</v>
      </c>
    </row>
    <row r="320" customFormat="false" ht="15" hidden="false" customHeight="false" outlineLevel="0" collapsed="false">
      <c r="A320" s="15" t="s">
        <v>295</v>
      </c>
      <c r="B320" s="15" t="s">
        <v>775</v>
      </c>
      <c r="C320" s="15" t="s">
        <v>1673</v>
      </c>
      <c r="D320" s="15" t="str">
        <f aca="false">IF(ISNUMBER(MATCH(B320,Pages!$B$2:$B$98,0)),"Yes","Check")</f>
        <v>Yes</v>
      </c>
    </row>
    <row r="321" customFormat="false" ht="15" hidden="false" customHeight="false" outlineLevel="0" collapsed="false">
      <c r="A321" s="15" t="s">
        <v>295</v>
      </c>
      <c r="B321" s="15" t="s">
        <v>477</v>
      </c>
      <c r="C321" s="15" t="s">
        <v>1674</v>
      </c>
      <c r="D321" s="15" t="str">
        <f aca="false">IF(ISNUMBER(MATCH(B321,Pages!$B$2:$B$98,0)),"Yes","Check")</f>
        <v>Yes</v>
      </c>
    </row>
    <row r="322" customFormat="false" ht="15" hidden="false" customHeight="false" outlineLevel="0" collapsed="false">
      <c r="A322" s="15" t="s">
        <v>295</v>
      </c>
      <c r="B322" s="15" t="s">
        <v>819</v>
      </c>
      <c r="C322" s="15" t="s">
        <v>1675</v>
      </c>
      <c r="D322" s="15" t="str">
        <f aca="false">IF(ISNUMBER(MATCH(B322,Pages!$B$2:$B$98,0)),"Yes","Check")</f>
        <v>Yes</v>
      </c>
    </row>
    <row r="323" customFormat="false" ht="15" hidden="false" customHeight="false" outlineLevel="0" collapsed="false">
      <c r="A323" s="15" t="s">
        <v>295</v>
      </c>
      <c r="B323" s="15" t="s">
        <v>450</v>
      </c>
      <c r="C323" s="15" t="s">
        <v>1482</v>
      </c>
      <c r="D323" s="15" t="str">
        <f aca="false">IF(ISNUMBER(MATCH(B323,Pages!$B$2:$B$98,0)),"Yes","Check")</f>
        <v>Yes</v>
      </c>
    </row>
    <row r="324" customFormat="false" ht="15" hidden="false" customHeight="false" outlineLevel="0" collapsed="false">
      <c r="A324" s="15" t="s">
        <v>295</v>
      </c>
      <c r="B324" s="15" t="s">
        <v>183</v>
      </c>
      <c r="C324" s="15" t="s">
        <v>1506</v>
      </c>
      <c r="D324" s="15" t="str">
        <f aca="false">IF(ISNUMBER(MATCH(B324,Pages!$B$2:$B$98,0)),"Yes","Check")</f>
        <v>Yes</v>
      </c>
    </row>
    <row r="325" customFormat="false" ht="15" hidden="false" customHeight="false" outlineLevel="0" collapsed="false">
      <c r="A325" s="15" t="s">
        <v>295</v>
      </c>
      <c r="B325" s="15" t="s">
        <v>116</v>
      </c>
      <c r="C325" s="15" t="s">
        <v>1605</v>
      </c>
      <c r="D325" s="15" t="str">
        <f aca="false">IF(ISNUMBER(MATCH(B325,Pages!$B$2:$B$98,0)),"Yes","Check")</f>
        <v>Yes</v>
      </c>
    </row>
    <row r="326" customFormat="false" ht="15" hidden="false" customHeight="false" outlineLevel="0" collapsed="false">
      <c r="A326" s="15" t="s">
        <v>295</v>
      </c>
      <c r="B326" s="15" t="s">
        <v>125</v>
      </c>
      <c r="C326" s="15" t="s">
        <v>1606</v>
      </c>
      <c r="D326" s="15" t="str">
        <f aca="false">IF(ISNUMBER(MATCH(B326,Pages!$B$2:$B$98,0)),"Yes","Check")</f>
        <v>Yes</v>
      </c>
    </row>
    <row r="327" customFormat="false" ht="15" hidden="false" customHeight="false" outlineLevel="0" collapsed="false">
      <c r="A327" s="15" t="s">
        <v>295</v>
      </c>
      <c r="B327" s="15" t="s">
        <v>195</v>
      </c>
      <c r="C327" s="15" t="s">
        <v>1676</v>
      </c>
      <c r="D327" s="15" t="str">
        <f aca="false">IF(ISNUMBER(MATCH(B327,Pages!$B$2:$B$98,0)),"Yes","Check")</f>
        <v>Yes</v>
      </c>
    </row>
    <row r="328" customFormat="false" ht="15" hidden="false" customHeight="false" outlineLevel="0" collapsed="false">
      <c r="A328" s="15" t="s">
        <v>295</v>
      </c>
      <c r="B328" s="15" t="s">
        <v>775</v>
      </c>
      <c r="C328" s="15" t="s">
        <v>1677</v>
      </c>
      <c r="D328" s="15" t="str">
        <f aca="false">IF(ISNUMBER(MATCH(B328,Pages!$B$2:$B$98,0)),"Yes","Check")</f>
        <v>Yes</v>
      </c>
    </row>
    <row r="329" customFormat="false" ht="15" hidden="false" customHeight="false" outlineLevel="0" collapsed="false">
      <c r="A329" s="15" t="s">
        <v>295</v>
      </c>
      <c r="B329" s="15" t="s">
        <v>116</v>
      </c>
      <c r="C329" s="15" t="s">
        <v>1483</v>
      </c>
      <c r="D329" s="15" t="str">
        <f aca="false">IF(ISNUMBER(MATCH(B329,Pages!$B$2:$B$98,0)),"Yes","Check")</f>
        <v>Yes</v>
      </c>
    </row>
    <row r="330" customFormat="false" ht="15" hidden="false" customHeight="false" outlineLevel="0" collapsed="false">
      <c r="A330" s="15" t="s">
        <v>304</v>
      </c>
      <c r="B330" s="15" t="s">
        <v>183</v>
      </c>
      <c r="C330" s="15" t="s">
        <v>1678</v>
      </c>
      <c r="D330" s="15" t="str">
        <f aca="false">IF(ISNUMBER(MATCH(B330,Pages!$B$2:$B$98,0)),"Yes","Check")</f>
        <v>Yes</v>
      </c>
    </row>
    <row r="331" customFormat="false" ht="15" hidden="false" customHeight="false" outlineLevel="0" collapsed="false">
      <c r="A331" s="15" t="s">
        <v>304</v>
      </c>
      <c r="B331" s="15" t="s">
        <v>540</v>
      </c>
      <c r="C331" s="15" t="s">
        <v>1634</v>
      </c>
      <c r="D331" s="15" t="str">
        <f aca="false">IF(ISNUMBER(MATCH(B331,Pages!$B$2:$B$98,0)),"Yes","Check")</f>
        <v>Yes</v>
      </c>
    </row>
    <row r="332" customFormat="false" ht="15" hidden="false" customHeight="false" outlineLevel="0" collapsed="false">
      <c r="A332" s="15" t="s">
        <v>304</v>
      </c>
      <c r="B332" s="15" t="s">
        <v>237</v>
      </c>
      <c r="C332" s="15" t="s">
        <v>1679</v>
      </c>
      <c r="D332" s="15" t="str">
        <f aca="false">IF(ISNUMBER(MATCH(B332,Pages!$B$2:$B$98,0)),"Yes","Check")</f>
        <v>Yes</v>
      </c>
    </row>
    <row r="333" customFormat="false" ht="15" hidden="false" customHeight="false" outlineLevel="0" collapsed="false">
      <c r="A333" s="15" t="s">
        <v>304</v>
      </c>
      <c r="B333" s="15" t="s">
        <v>459</v>
      </c>
      <c r="C333" s="15" t="s">
        <v>1618</v>
      </c>
      <c r="D333" s="15" t="str">
        <f aca="false">IF(ISNUMBER(MATCH(B333,Pages!$B$2:$B$98,0)),"Yes","Check")</f>
        <v>Yes</v>
      </c>
    </row>
    <row r="334" customFormat="false" ht="15" hidden="false" customHeight="false" outlineLevel="0" collapsed="false">
      <c r="A334" s="15" t="s">
        <v>304</v>
      </c>
      <c r="B334" s="15" t="s">
        <v>349</v>
      </c>
      <c r="C334" s="15" t="s">
        <v>1680</v>
      </c>
      <c r="D334" s="15" t="str">
        <f aca="false">IF(ISNUMBER(MATCH(B334,Pages!$B$2:$B$98,0)),"Yes","Check")</f>
        <v>Yes</v>
      </c>
    </row>
    <row r="335" customFormat="false" ht="15" hidden="false" customHeight="false" outlineLevel="0" collapsed="false">
      <c r="A335" s="15" t="s">
        <v>304</v>
      </c>
      <c r="B335" s="15" t="s">
        <v>116</v>
      </c>
      <c r="C335" s="15" t="s">
        <v>1605</v>
      </c>
      <c r="D335" s="15" t="str">
        <f aca="false">IF(ISNUMBER(MATCH(B335,Pages!$B$2:$B$98,0)),"Yes","Check")</f>
        <v>Yes</v>
      </c>
    </row>
    <row r="336" customFormat="false" ht="23.85" hidden="false" customHeight="false" outlineLevel="0" collapsed="false">
      <c r="A336" s="15" t="s">
        <v>304</v>
      </c>
      <c r="B336" s="15" t="s">
        <v>237</v>
      </c>
      <c r="C336" s="15" t="s">
        <v>1661</v>
      </c>
      <c r="D336" s="15" t="str">
        <f aca="false">IF(ISNUMBER(MATCH(B336,Pages!$B$2:$B$98,0)),"Yes","Check")</f>
        <v>Yes</v>
      </c>
    </row>
    <row r="337" customFormat="false" ht="23.85" hidden="false" customHeight="false" outlineLevel="0" collapsed="false">
      <c r="A337" s="15" t="s">
        <v>304</v>
      </c>
      <c r="B337" s="15" t="s">
        <v>349</v>
      </c>
      <c r="C337" s="15" t="s">
        <v>1638</v>
      </c>
      <c r="D337" s="15" t="str">
        <f aca="false">IF(ISNUMBER(MATCH(B337,Pages!$B$2:$B$98,0)),"Yes","Check")</f>
        <v>Yes</v>
      </c>
    </row>
    <row r="338" customFormat="false" ht="23.85" hidden="false" customHeight="false" outlineLevel="0" collapsed="false">
      <c r="A338" s="15" t="s">
        <v>304</v>
      </c>
      <c r="B338" s="15" t="s">
        <v>459</v>
      </c>
      <c r="C338" s="15" t="s">
        <v>1625</v>
      </c>
      <c r="D338" s="15" t="str">
        <f aca="false">IF(ISNUMBER(MATCH(B338,Pages!$B$2:$B$98,0)),"Yes","Check")</f>
        <v>Yes</v>
      </c>
    </row>
    <row r="339" customFormat="false" ht="23.85" hidden="false" customHeight="false" outlineLevel="0" collapsed="false">
      <c r="A339" s="15" t="s">
        <v>304</v>
      </c>
      <c r="B339" s="15" t="s">
        <v>540</v>
      </c>
      <c r="C339" s="15" t="s">
        <v>1639</v>
      </c>
      <c r="D339" s="15" t="str">
        <f aca="false">IF(ISNUMBER(MATCH(B339,Pages!$B$2:$B$98,0)),"Yes","Check")</f>
        <v>Yes</v>
      </c>
    </row>
    <row r="340" customFormat="false" ht="15" hidden="false" customHeight="false" outlineLevel="0" collapsed="false">
      <c r="A340" s="15" t="s">
        <v>304</v>
      </c>
      <c r="B340" s="15" t="s">
        <v>748</v>
      </c>
      <c r="C340" s="15" t="s">
        <v>1616</v>
      </c>
      <c r="D340" s="15" t="str">
        <f aca="false">IF(ISNUMBER(MATCH(B340,Pages!$B$2:$B$98,0)),"Yes","Check")</f>
        <v>Yes</v>
      </c>
    </row>
    <row r="341" customFormat="false" ht="15" hidden="false" customHeight="false" outlineLevel="0" collapsed="false">
      <c r="A341" s="15" t="s">
        <v>304</v>
      </c>
      <c r="B341" s="15" t="s">
        <v>116</v>
      </c>
      <c r="C341" s="15" t="s">
        <v>1483</v>
      </c>
      <c r="D341" s="15" t="str">
        <f aca="false">IF(ISNUMBER(MATCH(B341,Pages!$B$2:$B$98,0)),"Yes","Check")</f>
        <v>Yes</v>
      </c>
    </row>
    <row r="342" customFormat="false" ht="15" hidden="false" customHeight="false" outlineLevel="0" collapsed="false">
      <c r="A342" s="15" t="s">
        <v>313</v>
      </c>
      <c r="B342" s="15" t="s">
        <v>286</v>
      </c>
      <c r="C342" s="15" t="s">
        <v>1681</v>
      </c>
      <c r="D342" s="15" t="str">
        <f aca="false">IF(ISNUMBER(MATCH(B342,Pages!$B$2:$B$98,0)),"Yes","Check")</f>
        <v>Yes</v>
      </c>
    </row>
    <row r="343" customFormat="false" ht="15" hidden="false" customHeight="false" outlineLevel="0" collapsed="false">
      <c r="A343" s="15" t="s">
        <v>313</v>
      </c>
      <c r="B343" s="15" t="s">
        <v>183</v>
      </c>
      <c r="C343" s="15" t="s">
        <v>1506</v>
      </c>
      <c r="D343" s="15" t="str">
        <f aca="false">IF(ISNUMBER(MATCH(B343,Pages!$B$2:$B$98,0)),"Yes","Check")</f>
        <v>Yes</v>
      </c>
    </row>
    <row r="344" customFormat="false" ht="15" hidden="false" customHeight="false" outlineLevel="0" collapsed="false">
      <c r="A344" s="15" t="s">
        <v>313</v>
      </c>
      <c r="B344" s="15" t="s">
        <v>748</v>
      </c>
      <c r="C344" s="15" t="s">
        <v>1654</v>
      </c>
      <c r="D344" s="15" t="str">
        <f aca="false">IF(ISNUMBER(MATCH(B344,Pages!$B$2:$B$98,0)),"Yes","Check")</f>
        <v>Yes</v>
      </c>
    </row>
    <row r="345" customFormat="false" ht="15" hidden="false" customHeight="false" outlineLevel="0" collapsed="false">
      <c r="A345" s="15" t="s">
        <v>313</v>
      </c>
      <c r="B345" s="15" t="s">
        <v>908</v>
      </c>
      <c r="C345" s="15" t="s">
        <v>1682</v>
      </c>
      <c r="D345" s="15" t="str">
        <f aca="false">IF(ISNUMBER(MATCH(B345,Pages!$B$2:$B$98,0)),"Yes","Check")</f>
        <v>Yes</v>
      </c>
    </row>
    <row r="346" customFormat="false" ht="15" hidden="false" customHeight="false" outlineLevel="0" collapsed="false">
      <c r="A346" s="15" t="s">
        <v>313</v>
      </c>
      <c r="B346" s="15" t="s">
        <v>828</v>
      </c>
      <c r="C346" s="15" t="s">
        <v>1664</v>
      </c>
      <c r="D346" s="15" t="str">
        <f aca="false">IF(ISNUMBER(MATCH(B346,Pages!$B$2:$B$98,0)),"Yes","Check")</f>
        <v>Yes</v>
      </c>
    </row>
    <row r="347" customFormat="false" ht="15" hidden="false" customHeight="false" outlineLevel="0" collapsed="false">
      <c r="A347" s="15" t="s">
        <v>313</v>
      </c>
      <c r="B347" s="15" t="s">
        <v>116</v>
      </c>
      <c r="C347" s="15" t="s">
        <v>1605</v>
      </c>
      <c r="D347" s="15" t="str">
        <f aca="false">IF(ISNUMBER(MATCH(B347,Pages!$B$2:$B$98,0)),"Yes","Check")</f>
        <v>Yes</v>
      </c>
    </row>
    <row r="348" customFormat="false" ht="23.85" hidden="false" customHeight="false" outlineLevel="0" collapsed="false">
      <c r="A348" s="15" t="s">
        <v>313</v>
      </c>
      <c r="B348" s="15" t="s">
        <v>286</v>
      </c>
      <c r="C348" s="15" t="s">
        <v>1624</v>
      </c>
      <c r="D348" s="15" t="str">
        <f aca="false">IF(ISNUMBER(MATCH(B348,Pages!$B$2:$B$98,0)),"Yes","Check")</f>
        <v>Yes</v>
      </c>
    </row>
    <row r="349" customFormat="false" ht="15" hidden="false" customHeight="false" outlineLevel="0" collapsed="false">
      <c r="A349" s="15" t="s">
        <v>313</v>
      </c>
      <c r="B349" s="15" t="s">
        <v>748</v>
      </c>
      <c r="C349" s="15" t="s">
        <v>1616</v>
      </c>
      <c r="D349" s="15" t="str">
        <f aca="false">IF(ISNUMBER(MATCH(B349,Pages!$B$2:$B$98,0)),"Yes","Check")</f>
        <v>Yes</v>
      </c>
    </row>
    <row r="350" customFormat="false" ht="15" hidden="false" customHeight="false" outlineLevel="0" collapsed="false">
      <c r="A350" s="15" t="s">
        <v>313</v>
      </c>
      <c r="B350" s="15" t="s">
        <v>828</v>
      </c>
      <c r="C350" s="15" t="s">
        <v>1666</v>
      </c>
      <c r="D350" s="15" t="str">
        <f aca="false">IF(ISNUMBER(MATCH(B350,Pages!$B$2:$B$98,0)),"Yes","Check")</f>
        <v>Yes</v>
      </c>
    </row>
    <row r="351" customFormat="false" ht="15" hidden="false" customHeight="false" outlineLevel="0" collapsed="false">
      <c r="A351" s="15" t="s">
        <v>313</v>
      </c>
      <c r="B351" s="15" t="s">
        <v>116</v>
      </c>
      <c r="C351" s="15" t="s">
        <v>1483</v>
      </c>
      <c r="D351" s="15" t="str">
        <f aca="false">IF(ISNUMBER(MATCH(B351,Pages!$B$2:$B$98,0)),"Yes","Check")</f>
        <v>Yes</v>
      </c>
    </row>
    <row r="352" customFormat="false" ht="15" hidden="false" customHeight="false" outlineLevel="0" collapsed="false">
      <c r="A352" s="15" t="s">
        <v>322</v>
      </c>
      <c r="B352" s="15" t="s">
        <v>183</v>
      </c>
      <c r="C352" s="15" t="s">
        <v>1683</v>
      </c>
      <c r="D352" s="15" t="str">
        <f aca="false">IF(ISNUMBER(MATCH(B352,Pages!$B$2:$B$98,0)),"Yes","Check")</f>
        <v>Yes</v>
      </c>
    </row>
    <row r="353" customFormat="false" ht="15" hidden="false" customHeight="false" outlineLevel="0" collapsed="false">
      <c r="A353" s="15" t="s">
        <v>322</v>
      </c>
      <c r="B353" s="15" t="s">
        <v>368</v>
      </c>
      <c r="C353" s="15" t="s">
        <v>1684</v>
      </c>
      <c r="D353" s="15" t="str">
        <f aca="false">IF(ISNUMBER(MATCH(B353,Pages!$B$2:$B$98,0)),"Yes","Check")</f>
        <v>Yes</v>
      </c>
    </row>
    <row r="354" customFormat="false" ht="15" hidden="false" customHeight="false" outlineLevel="0" collapsed="false">
      <c r="A354" s="15" t="s">
        <v>322</v>
      </c>
      <c r="B354" s="15" t="s">
        <v>495</v>
      </c>
      <c r="C354" s="15" t="s">
        <v>1685</v>
      </c>
      <c r="D354" s="15" t="str">
        <f aca="false">IF(ISNUMBER(MATCH(B354,Pages!$B$2:$B$98,0)),"Yes","Check")</f>
        <v>Yes</v>
      </c>
    </row>
    <row r="355" customFormat="false" ht="15" hidden="false" customHeight="false" outlineLevel="0" collapsed="false">
      <c r="A355" s="15" t="s">
        <v>322</v>
      </c>
      <c r="B355" s="15" t="s">
        <v>792</v>
      </c>
      <c r="C355" s="15" t="s">
        <v>1621</v>
      </c>
      <c r="D355" s="15" t="str">
        <f aca="false">IF(ISNUMBER(MATCH(B355,Pages!$B$2:$B$98,0)),"Yes","Check")</f>
        <v>Yes</v>
      </c>
    </row>
    <row r="356" customFormat="false" ht="15" hidden="false" customHeight="false" outlineLevel="0" collapsed="false">
      <c r="A356" s="15" t="s">
        <v>322</v>
      </c>
      <c r="B356" s="15" t="s">
        <v>531</v>
      </c>
      <c r="C356" s="15" t="s">
        <v>1686</v>
      </c>
      <c r="D356" s="15" t="str">
        <f aca="false">IF(ISNUMBER(MATCH(B356,Pages!$B$2:$B$98,0)),"Yes","Check")</f>
        <v>Yes</v>
      </c>
    </row>
    <row r="357" customFormat="false" ht="15" hidden="false" customHeight="false" outlineLevel="0" collapsed="false">
      <c r="A357" s="15" t="s">
        <v>322</v>
      </c>
      <c r="B357" s="15" t="s">
        <v>881</v>
      </c>
      <c r="C357" s="15" t="s">
        <v>1503</v>
      </c>
      <c r="D357" s="15" t="str">
        <f aca="false">IF(ISNUMBER(MATCH(B357,Pages!$B$2:$B$98,0)),"Yes","Check")</f>
        <v>Yes</v>
      </c>
    </row>
    <row r="358" customFormat="false" ht="15" hidden="false" customHeight="false" outlineLevel="0" collapsed="false">
      <c r="A358" s="15" t="s">
        <v>322</v>
      </c>
      <c r="B358" s="15" t="s">
        <v>766</v>
      </c>
      <c r="C358" s="15" t="s">
        <v>1687</v>
      </c>
      <c r="D358" s="15" t="str">
        <f aca="false">IF(ISNUMBER(MATCH(B358,Pages!$B$2:$B$98,0)),"Yes","Check")</f>
        <v>Yes</v>
      </c>
    </row>
    <row r="359" customFormat="false" ht="15" hidden="false" customHeight="false" outlineLevel="0" collapsed="false">
      <c r="A359" s="15" t="s">
        <v>322</v>
      </c>
      <c r="B359" s="15" t="s">
        <v>116</v>
      </c>
      <c r="C359" s="15" t="s">
        <v>1605</v>
      </c>
      <c r="D359" s="15" t="str">
        <f aca="false">IF(ISNUMBER(MATCH(B359,Pages!$B$2:$B$98,0)),"Yes","Check")</f>
        <v>Yes</v>
      </c>
    </row>
    <row r="360" customFormat="false" ht="15" hidden="false" customHeight="false" outlineLevel="0" collapsed="false">
      <c r="A360" s="15" t="s">
        <v>322</v>
      </c>
      <c r="B360" s="15" t="s">
        <v>495</v>
      </c>
      <c r="C360" s="15" t="s">
        <v>1688</v>
      </c>
      <c r="D360" s="15" t="str">
        <f aca="false">IF(ISNUMBER(MATCH(B360,Pages!$B$2:$B$98,0)),"Yes","Check")</f>
        <v>Yes</v>
      </c>
    </row>
    <row r="361" customFormat="false" ht="23.85" hidden="false" customHeight="false" outlineLevel="0" collapsed="false">
      <c r="A361" s="15" t="s">
        <v>322</v>
      </c>
      <c r="B361" s="15" t="s">
        <v>531</v>
      </c>
      <c r="C361" s="15" t="s">
        <v>1689</v>
      </c>
      <c r="D361" s="15" t="str">
        <f aca="false">IF(ISNUMBER(MATCH(B361,Pages!$B$2:$B$98,0)),"Yes","Check")</f>
        <v>Yes</v>
      </c>
    </row>
    <row r="362" customFormat="false" ht="15" hidden="false" customHeight="false" outlineLevel="0" collapsed="false">
      <c r="A362" s="15" t="s">
        <v>322</v>
      </c>
      <c r="B362" s="15" t="s">
        <v>792</v>
      </c>
      <c r="C362" s="15" t="s">
        <v>1626</v>
      </c>
      <c r="D362" s="15" t="str">
        <f aca="false">IF(ISNUMBER(MATCH(B362,Pages!$B$2:$B$98,0)),"Yes","Check")</f>
        <v>Yes</v>
      </c>
    </row>
    <row r="363" customFormat="false" ht="15" hidden="false" customHeight="false" outlineLevel="0" collapsed="false">
      <c r="A363" s="15" t="s">
        <v>322</v>
      </c>
      <c r="B363" s="15" t="s">
        <v>881</v>
      </c>
      <c r="C363" s="15" t="s">
        <v>1690</v>
      </c>
      <c r="D363" s="15" t="str">
        <f aca="false">IF(ISNUMBER(MATCH(B363,Pages!$B$2:$B$98,0)),"Yes","Check")</f>
        <v>Yes</v>
      </c>
    </row>
    <row r="364" customFormat="false" ht="15" hidden="false" customHeight="false" outlineLevel="0" collapsed="false">
      <c r="A364" s="15" t="s">
        <v>322</v>
      </c>
      <c r="B364" s="15" t="s">
        <v>116</v>
      </c>
      <c r="C364" s="15" t="s">
        <v>1483</v>
      </c>
      <c r="D364" s="15" t="str">
        <f aca="false">IF(ISNUMBER(MATCH(B364,Pages!$B$2:$B$98,0)),"Yes","Check")</f>
        <v>Yes</v>
      </c>
    </row>
    <row r="365" customFormat="false" ht="15" hidden="false" customHeight="false" outlineLevel="0" collapsed="false">
      <c r="A365" s="15" t="s">
        <v>331</v>
      </c>
      <c r="B365" s="15" t="s">
        <v>183</v>
      </c>
      <c r="C365" s="15" t="s">
        <v>1598</v>
      </c>
      <c r="D365" s="15" t="str">
        <f aca="false">IF(ISNUMBER(MATCH(B365,Pages!$B$2:$B$98,0)),"Yes","Check")</f>
        <v>Yes</v>
      </c>
    </row>
    <row r="366" customFormat="false" ht="15" hidden="false" customHeight="false" outlineLevel="0" collapsed="false">
      <c r="A366" s="15" t="s">
        <v>331</v>
      </c>
      <c r="B366" s="15" t="s">
        <v>195</v>
      </c>
      <c r="C366" s="15" t="s">
        <v>1691</v>
      </c>
      <c r="D366" s="15" t="str">
        <f aca="false">IF(ISNUMBER(MATCH(B366,Pages!$B$2:$B$98,0)),"Yes","Check")</f>
        <v>Yes</v>
      </c>
    </row>
    <row r="367" customFormat="false" ht="15" hidden="false" customHeight="false" outlineLevel="0" collapsed="false">
      <c r="A367" s="15" t="s">
        <v>331</v>
      </c>
      <c r="B367" s="15" t="s">
        <v>757</v>
      </c>
      <c r="C367" s="15" t="s">
        <v>1692</v>
      </c>
      <c r="D367" s="15" t="str">
        <f aca="false">IF(ISNUMBER(MATCH(B367,Pages!$B$2:$B$98,0)),"Yes","Check")</f>
        <v>Yes</v>
      </c>
    </row>
    <row r="368" customFormat="false" ht="15" hidden="false" customHeight="false" outlineLevel="0" collapsed="false">
      <c r="A368" s="15" t="s">
        <v>331</v>
      </c>
      <c r="B368" s="15" t="s">
        <v>908</v>
      </c>
      <c r="C368" s="15" t="s">
        <v>1693</v>
      </c>
      <c r="D368" s="15" t="str">
        <f aca="false">IF(ISNUMBER(MATCH(B368,Pages!$B$2:$B$98,0)),"Yes","Check")</f>
        <v>Yes</v>
      </c>
    </row>
    <row r="369" customFormat="false" ht="15" hidden="false" customHeight="false" outlineLevel="0" collapsed="false">
      <c r="A369" s="15" t="s">
        <v>331</v>
      </c>
      <c r="B369" s="15" t="s">
        <v>837</v>
      </c>
      <c r="C369" s="15" t="s">
        <v>1694</v>
      </c>
      <c r="D369" s="15" t="str">
        <f aca="false">IF(ISNUMBER(MATCH(B369,Pages!$B$2:$B$98,0)),"Yes","Check")</f>
        <v>Yes</v>
      </c>
    </row>
    <row r="370" customFormat="false" ht="15" hidden="false" customHeight="false" outlineLevel="0" collapsed="false">
      <c r="A370" s="15" t="s">
        <v>331</v>
      </c>
      <c r="B370" s="15" t="s">
        <v>431</v>
      </c>
      <c r="C370" s="15" t="s">
        <v>1695</v>
      </c>
      <c r="D370" s="15" t="str">
        <f aca="false">IF(ISNUMBER(MATCH(B370,Pages!$B$2:$B$98,0)),"Yes","Check")</f>
        <v>Yes</v>
      </c>
    </row>
    <row r="371" customFormat="false" ht="15" hidden="false" customHeight="false" outlineLevel="0" collapsed="false">
      <c r="A371" s="15" t="s">
        <v>331</v>
      </c>
      <c r="B371" s="15" t="s">
        <v>450</v>
      </c>
      <c r="C371" s="15" t="s">
        <v>1492</v>
      </c>
      <c r="D371" s="15" t="str">
        <f aca="false">IF(ISNUMBER(MATCH(B371,Pages!$B$2:$B$98,0)),"Yes","Check")</f>
        <v>Yes</v>
      </c>
    </row>
    <row r="372" customFormat="false" ht="15" hidden="false" customHeight="false" outlineLevel="0" collapsed="false">
      <c r="A372" s="15" t="s">
        <v>331</v>
      </c>
      <c r="B372" s="15" t="s">
        <v>116</v>
      </c>
      <c r="C372" s="15" t="s">
        <v>1605</v>
      </c>
      <c r="D372" s="15" t="str">
        <f aca="false">IF(ISNUMBER(MATCH(B372,Pages!$B$2:$B$98,0)),"Yes","Check")</f>
        <v>Yes</v>
      </c>
    </row>
    <row r="373" customFormat="false" ht="15" hidden="false" customHeight="false" outlineLevel="0" collapsed="false">
      <c r="A373" s="15" t="s">
        <v>331</v>
      </c>
      <c r="B373" s="15" t="s">
        <v>195</v>
      </c>
      <c r="C373" s="15" t="s">
        <v>1676</v>
      </c>
      <c r="D373" s="15" t="str">
        <f aca="false">IF(ISNUMBER(MATCH(B373,Pages!$B$2:$B$98,0)),"Yes","Check")</f>
        <v>Yes</v>
      </c>
    </row>
    <row r="374" customFormat="false" ht="15" hidden="false" customHeight="false" outlineLevel="0" collapsed="false">
      <c r="A374" s="15" t="s">
        <v>331</v>
      </c>
      <c r="B374" s="15" t="s">
        <v>757</v>
      </c>
      <c r="C374" s="15" t="s">
        <v>1608</v>
      </c>
      <c r="D374" s="15" t="str">
        <f aca="false">IF(ISNUMBER(MATCH(B374,Pages!$B$2:$B$98,0)),"Yes","Check")</f>
        <v>Yes</v>
      </c>
    </row>
    <row r="375" customFormat="false" ht="23.85" hidden="false" customHeight="false" outlineLevel="0" collapsed="false">
      <c r="A375" s="15" t="s">
        <v>331</v>
      </c>
      <c r="B375" s="15" t="s">
        <v>837</v>
      </c>
      <c r="C375" s="15" t="s">
        <v>1696</v>
      </c>
      <c r="D375" s="15" t="str">
        <f aca="false">IF(ISNUMBER(MATCH(B375,Pages!$B$2:$B$98,0)),"Yes","Check")</f>
        <v>Yes</v>
      </c>
    </row>
    <row r="376" customFormat="false" ht="15" hidden="false" customHeight="false" outlineLevel="0" collapsed="false">
      <c r="A376" s="15" t="s">
        <v>331</v>
      </c>
      <c r="B376" s="15" t="s">
        <v>908</v>
      </c>
      <c r="C376" s="15" t="s">
        <v>1627</v>
      </c>
      <c r="D376" s="15" t="str">
        <f aca="false">IF(ISNUMBER(MATCH(B376,Pages!$B$2:$B$98,0)),"Yes","Check")</f>
        <v>Yes</v>
      </c>
    </row>
    <row r="377" customFormat="false" ht="15" hidden="false" customHeight="false" outlineLevel="0" collapsed="false">
      <c r="A377" s="15" t="s">
        <v>331</v>
      </c>
      <c r="B377" s="15" t="s">
        <v>722</v>
      </c>
      <c r="C377" s="15" t="s">
        <v>1609</v>
      </c>
      <c r="D377" s="15" t="str">
        <f aca="false">IF(ISNUMBER(MATCH(B377,Pages!$B$2:$B$98,0)),"Yes","Check")</f>
        <v>Yes</v>
      </c>
    </row>
    <row r="378" customFormat="false" ht="15" hidden="false" customHeight="false" outlineLevel="0" collapsed="false">
      <c r="A378" s="15" t="s">
        <v>331</v>
      </c>
      <c r="B378" s="15" t="s">
        <v>116</v>
      </c>
      <c r="C378" s="15" t="s">
        <v>1483</v>
      </c>
      <c r="D378" s="15" t="str">
        <f aca="false">IF(ISNUMBER(MATCH(B378,Pages!$B$2:$B$98,0)),"Yes","Check")</f>
        <v>Yes</v>
      </c>
    </row>
    <row r="379" customFormat="false" ht="15" hidden="false" customHeight="false" outlineLevel="0" collapsed="false">
      <c r="A379" s="15" t="s">
        <v>340</v>
      </c>
      <c r="B379" s="15" t="s">
        <v>395</v>
      </c>
      <c r="C379" s="15" t="s">
        <v>1697</v>
      </c>
      <c r="D379" s="15" t="str">
        <f aca="false">IF(ISNUMBER(MATCH(B379,Pages!$B$2:$B$98,0)),"Yes","Check")</f>
        <v>Yes</v>
      </c>
    </row>
    <row r="380" customFormat="false" ht="15" hidden="false" customHeight="false" outlineLevel="0" collapsed="false">
      <c r="A380" s="15" t="s">
        <v>340</v>
      </c>
      <c r="B380" s="15" t="s">
        <v>810</v>
      </c>
      <c r="C380" s="15" t="s">
        <v>1698</v>
      </c>
      <c r="D380" s="15" t="str">
        <f aca="false">IF(ISNUMBER(MATCH(B380,Pages!$B$2:$B$98,0)),"Yes","Check")</f>
        <v>Yes</v>
      </c>
    </row>
    <row r="381" customFormat="false" ht="15" hidden="false" customHeight="false" outlineLevel="0" collapsed="false">
      <c r="A381" s="15" t="s">
        <v>340</v>
      </c>
      <c r="B381" s="15" t="s">
        <v>459</v>
      </c>
      <c r="C381" s="15" t="s">
        <v>1658</v>
      </c>
      <c r="D381" s="15" t="str">
        <f aca="false">IF(ISNUMBER(MATCH(B381,Pages!$B$2:$B$98,0)),"Yes","Check")</f>
        <v>Yes</v>
      </c>
    </row>
    <row r="382" customFormat="false" ht="15" hidden="false" customHeight="false" outlineLevel="0" collapsed="false">
      <c r="A382" s="15" t="s">
        <v>340</v>
      </c>
      <c r="B382" s="15" t="s">
        <v>890</v>
      </c>
      <c r="C382" s="15" t="s">
        <v>894</v>
      </c>
      <c r="D382" s="15" t="str">
        <f aca="false">IF(ISNUMBER(MATCH(B382,Pages!$B$2:$B$98,0)),"Yes","Check")</f>
        <v>Yes</v>
      </c>
    </row>
    <row r="383" customFormat="false" ht="15" hidden="false" customHeight="false" outlineLevel="0" collapsed="false">
      <c r="A383" s="15" t="s">
        <v>340</v>
      </c>
      <c r="B383" s="15" t="s">
        <v>349</v>
      </c>
      <c r="C383" s="15" t="s">
        <v>1699</v>
      </c>
      <c r="D383" s="15" t="str">
        <f aca="false">IF(ISNUMBER(MATCH(B383,Pages!$B$2:$B$98,0)),"Yes","Check")</f>
        <v>Yes</v>
      </c>
    </row>
    <row r="384" customFormat="false" ht="15" hidden="false" customHeight="false" outlineLevel="0" collapsed="false">
      <c r="A384" s="15" t="s">
        <v>340</v>
      </c>
      <c r="B384" s="15" t="s">
        <v>116</v>
      </c>
      <c r="C384" s="15" t="s">
        <v>1605</v>
      </c>
      <c r="D384" s="15" t="str">
        <f aca="false">IF(ISNUMBER(MATCH(B384,Pages!$B$2:$B$98,0)),"Yes","Check")</f>
        <v>Yes</v>
      </c>
    </row>
    <row r="385" customFormat="false" ht="23.85" hidden="false" customHeight="false" outlineLevel="0" collapsed="false">
      <c r="A385" s="15" t="s">
        <v>340</v>
      </c>
      <c r="B385" s="15" t="s">
        <v>349</v>
      </c>
      <c r="C385" s="15" t="s">
        <v>1638</v>
      </c>
      <c r="D385" s="15" t="str">
        <f aca="false">IF(ISNUMBER(MATCH(B385,Pages!$B$2:$B$98,0)),"Yes","Check")</f>
        <v>Yes</v>
      </c>
    </row>
    <row r="386" customFormat="false" ht="23.85" hidden="false" customHeight="false" outlineLevel="0" collapsed="false">
      <c r="A386" s="15" t="s">
        <v>340</v>
      </c>
      <c r="B386" s="15" t="s">
        <v>395</v>
      </c>
      <c r="C386" s="15" t="s">
        <v>1700</v>
      </c>
      <c r="D386" s="15" t="str">
        <f aca="false">IF(ISNUMBER(MATCH(B386,Pages!$B$2:$B$98,0)),"Yes","Check")</f>
        <v>Yes</v>
      </c>
    </row>
    <row r="387" customFormat="false" ht="23.85" hidden="false" customHeight="false" outlineLevel="0" collapsed="false">
      <c r="A387" s="15" t="s">
        <v>340</v>
      </c>
      <c r="B387" s="15" t="s">
        <v>459</v>
      </c>
      <c r="C387" s="15" t="s">
        <v>1625</v>
      </c>
      <c r="D387" s="15" t="str">
        <f aca="false">IF(ISNUMBER(MATCH(B387,Pages!$B$2:$B$98,0)),"Yes","Check")</f>
        <v>Yes</v>
      </c>
    </row>
    <row r="388" customFormat="false" ht="15" hidden="false" customHeight="false" outlineLevel="0" collapsed="false">
      <c r="A388" s="15" t="s">
        <v>340</v>
      </c>
      <c r="B388" s="15" t="s">
        <v>810</v>
      </c>
      <c r="C388" s="15" t="s">
        <v>1640</v>
      </c>
      <c r="D388" s="15" t="str">
        <f aca="false">IF(ISNUMBER(MATCH(B388,Pages!$B$2:$B$98,0)),"Yes","Check")</f>
        <v>Yes</v>
      </c>
    </row>
    <row r="389" customFormat="false" ht="15" hidden="false" customHeight="false" outlineLevel="0" collapsed="false">
      <c r="A389" s="15" t="s">
        <v>340</v>
      </c>
      <c r="B389" s="15" t="s">
        <v>934</v>
      </c>
      <c r="C389" s="15" t="s">
        <v>1617</v>
      </c>
      <c r="D389" s="15" t="str">
        <f aca="false">IF(ISNUMBER(MATCH(B389,Pages!$B$2:$B$98,0)),"Yes","Check")</f>
        <v>Yes</v>
      </c>
    </row>
    <row r="390" customFormat="false" ht="15" hidden="false" customHeight="false" outlineLevel="0" collapsed="false">
      <c r="A390" s="15" t="s">
        <v>340</v>
      </c>
      <c r="B390" s="15" t="s">
        <v>116</v>
      </c>
      <c r="C390" s="15" t="s">
        <v>1483</v>
      </c>
      <c r="D390" s="15" t="str">
        <f aca="false">IF(ISNUMBER(MATCH(B390,Pages!$B$2:$B$98,0)),"Yes","Check")</f>
        <v>Yes</v>
      </c>
    </row>
    <row r="391" customFormat="false" ht="15" hidden="false" customHeight="false" outlineLevel="0" collapsed="false">
      <c r="A391" s="15" t="s">
        <v>349</v>
      </c>
      <c r="B391" s="15" t="s">
        <v>340</v>
      </c>
      <c r="C391" s="15" t="s">
        <v>1701</v>
      </c>
      <c r="D391" s="15" t="str">
        <f aca="false">IF(ISNUMBER(MATCH(B391,Pages!$B$2:$B$98,0)),"Yes","Check")</f>
        <v>Yes</v>
      </c>
    </row>
    <row r="392" customFormat="false" ht="15" hidden="false" customHeight="false" outlineLevel="0" collapsed="false">
      <c r="A392" s="15" t="s">
        <v>349</v>
      </c>
      <c r="B392" s="15" t="s">
        <v>890</v>
      </c>
      <c r="C392" s="15" t="s">
        <v>894</v>
      </c>
      <c r="D392" s="15" t="str">
        <f aca="false">IF(ISNUMBER(MATCH(B392,Pages!$B$2:$B$98,0)),"Yes","Check")</f>
        <v>Yes</v>
      </c>
    </row>
    <row r="393" customFormat="false" ht="15" hidden="false" customHeight="false" outlineLevel="0" collapsed="false">
      <c r="A393" s="15" t="s">
        <v>349</v>
      </c>
      <c r="B393" s="15" t="s">
        <v>183</v>
      </c>
      <c r="C393" s="15" t="s">
        <v>1506</v>
      </c>
      <c r="D393" s="15" t="str">
        <f aca="false">IF(ISNUMBER(MATCH(B393,Pages!$B$2:$B$98,0)),"Yes","Check")</f>
        <v>Yes</v>
      </c>
    </row>
    <row r="394" customFormat="false" ht="15" hidden="false" customHeight="false" outlineLevel="0" collapsed="false">
      <c r="A394" s="15" t="s">
        <v>349</v>
      </c>
      <c r="B394" s="15" t="s">
        <v>459</v>
      </c>
      <c r="C394" s="15" t="s">
        <v>1658</v>
      </c>
      <c r="D394" s="15" t="str">
        <f aca="false">IF(ISNUMBER(MATCH(B394,Pages!$B$2:$B$98,0)),"Yes","Check")</f>
        <v>Yes</v>
      </c>
    </row>
    <row r="395" customFormat="false" ht="15" hidden="false" customHeight="false" outlineLevel="0" collapsed="false">
      <c r="A395" s="15" t="s">
        <v>349</v>
      </c>
      <c r="B395" s="15" t="s">
        <v>810</v>
      </c>
      <c r="C395" s="15" t="s">
        <v>1702</v>
      </c>
      <c r="D395" s="15" t="str">
        <f aca="false">IF(ISNUMBER(MATCH(B395,Pages!$B$2:$B$98,0)),"Yes","Check")</f>
        <v>Yes</v>
      </c>
    </row>
    <row r="396" customFormat="false" ht="15" hidden="false" customHeight="false" outlineLevel="0" collapsed="false">
      <c r="A396" s="15" t="s">
        <v>349</v>
      </c>
      <c r="B396" s="15" t="s">
        <v>540</v>
      </c>
      <c r="C396" s="15" t="s">
        <v>1703</v>
      </c>
      <c r="D396" s="15" t="str">
        <f aca="false">IF(ISNUMBER(MATCH(B396,Pages!$B$2:$B$98,0)),"Yes","Check")</f>
        <v>Yes</v>
      </c>
    </row>
    <row r="397" customFormat="false" ht="15" hidden="false" customHeight="false" outlineLevel="0" collapsed="false">
      <c r="A397" s="15" t="s">
        <v>349</v>
      </c>
      <c r="B397" s="15" t="s">
        <v>267</v>
      </c>
      <c r="C397" s="15" t="s">
        <v>1628</v>
      </c>
      <c r="D397" s="15" t="str">
        <f aca="false">IF(ISNUMBER(MATCH(B397,Pages!$B$2:$B$98,0)),"Yes","Check")</f>
        <v>Yes</v>
      </c>
    </row>
    <row r="398" customFormat="false" ht="15" hidden="false" customHeight="false" outlineLevel="0" collapsed="false">
      <c r="A398" s="15" t="s">
        <v>349</v>
      </c>
      <c r="B398" s="15" t="s">
        <v>116</v>
      </c>
      <c r="C398" s="15" t="s">
        <v>1605</v>
      </c>
      <c r="D398" s="15" t="str">
        <f aca="false">IF(ISNUMBER(MATCH(B398,Pages!$B$2:$B$98,0)),"Yes","Check")</f>
        <v>Yes</v>
      </c>
    </row>
    <row r="399" customFormat="false" ht="15" hidden="false" customHeight="false" outlineLevel="0" collapsed="false">
      <c r="A399" s="15" t="s">
        <v>349</v>
      </c>
      <c r="B399" s="15" t="s">
        <v>340</v>
      </c>
      <c r="C399" s="15" t="s">
        <v>1704</v>
      </c>
      <c r="D399" s="15" t="str">
        <f aca="false">IF(ISNUMBER(MATCH(B399,Pages!$B$2:$B$98,0)),"Yes","Check")</f>
        <v>Yes</v>
      </c>
    </row>
    <row r="400" customFormat="false" ht="23.85" hidden="false" customHeight="false" outlineLevel="0" collapsed="false">
      <c r="A400" s="15" t="s">
        <v>349</v>
      </c>
      <c r="B400" s="15" t="s">
        <v>459</v>
      </c>
      <c r="C400" s="15" t="s">
        <v>1625</v>
      </c>
      <c r="D400" s="15" t="str">
        <f aca="false">IF(ISNUMBER(MATCH(B400,Pages!$B$2:$B$98,0)),"Yes","Check")</f>
        <v>Yes</v>
      </c>
    </row>
    <row r="401" customFormat="false" ht="15" hidden="false" customHeight="false" outlineLevel="0" collapsed="false">
      <c r="A401" s="15" t="s">
        <v>349</v>
      </c>
      <c r="B401" s="15" t="s">
        <v>810</v>
      </c>
      <c r="C401" s="15" t="s">
        <v>1640</v>
      </c>
      <c r="D401" s="15" t="str">
        <f aca="false">IF(ISNUMBER(MATCH(B401,Pages!$B$2:$B$98,0)),"Yes","Check")</f>
        <v>Yes</v>
      </c>
    </row>
    <row r="402" customFormat="false" ht="15" hidden="false" customHeight="false" outlineLevel="0" collapsed="false">
      <c r="A402" s="15" t="s">
        <v>349</v>
      </c>
      <c r="B402" s="15" t="s">
        <v>890</v>
      </c>
      <c r="C402" s="15" t="s">
        <v>1705</v>
      </c>
      <c r="D402" s="15" t="str">
        <f aca="false">IF(ISNUMBER(MATCH(B402,Pages!$B$2:$B$98,0)),"Yes","Check")</f>
        <v>Yes</v>
      </c>
    </row>
    <row r="403" customFormat="false" ht="15" hidden="false" customHeight="false" outlineLevel="0" collapsed="false">
      <c r="A403" s="15" t="s">
        <v>349</v>
      </c>
      <c r="B403" s="15" t="s">
        <v>116</v>
      </c>
      <c r="C403" s="15" t="s">
        <v>1483</v>
      </c>
      <c r="D403" s="15" t="str">
        <f aca="false">IF(ISNUMBER(MATCH(B403,Pages!$B$2:$B$98,0)),"Yes","Check")</f>
        <v>Yes</v>
      </c>
    </row>
    <row r="404" customFormat="false" ht="15" hidden="false" customHeight="false" outlineLevel="0" collapsed="false">
      <c r="A404" s="15" t="s">
        <v>359</v>
      </c>
      <c r="B404" s="15" t="s">
        <v>183</v>
      </c>
      <c r="C404" s="15" t="s">
        <v>1506</v>
      </c>
      <c r="D404" s="15" t="str">
        <f aca="false">IF(ISNUMBER(MATCH(B404,Pages!$B$2:$B$98,0)),"Yes","Check")</f>
        <v>Yes</v>
      </c>
    </row>
    <row r="405" customFormat="false" ht="15" hidden="false" customHeight="false" outlineLevel="0" collapsed="false">
      <c r="A405" s="15" t="s">
        <v>359</v>
      </c>
      <c r="B405" s="15" t="s">
        <v>967</v>
      </c>
      <c r="C405" s="15" t="s">
        <v>1706</v>
      </c>
      <c r="D405" s="15" t="str">
        <f aca="false">IF(ISNUMBER(MATCH(B405,Pages!$B$2:$B$98,0)),"Yes","Check")</f>
        <v>Yes</v>
      </c>
    </row>
    <row r="406" customFormat="false" ht="15" hidden="false" customHeight="false" outlineLevel="0" collapsed="false">
      <c r="A406" s="15" t="s">
        <v>359</v>
      </c>
      <c r="B406" s="15" t="s">
        <v>441</v>
      </c>
      <c r="C406" s="15" t="s">
        <v>1707</v>
      </c>
      <c r="D406" s="15" t="str">
        <f aca="false">IF(ISNUMBER(MATCH(B406,Pages!$B$2:$B$98,0)),"Yes","Check")</f>
        <v>Yes</v>
      </c>
    </row>
    <row r="407" customFormat="false" ht="15" hidden="false" customHeight="false" outlineLevel="0" collapsed="false">
      <c r="A407" s="15" t="s">
        <v>359</v>
      </c>
      <c r="B407" s="15" t="s">
        <v>783</v>
      </c>
      <c r="C407" s="15" t="s">
        <v>1708</v>
      </c>
      <c r="D407" s="15" t="str">
        <f aca="false">IF(ISNUMBER(MATCH(B407,Pages!$B$2:$B$98,0)),"Yes","Check")</f>
        <v>Yes</v>
      </c>
    </row>
    <row r="408" customFormat="false" ht="15" hidden="false" customHeight="false" outlineLevel="0" collapsed="false">
      <c r="A408" s="15" t="s">
        <v>359</v>
      </c>
      <c r="B408" s="15" t="s">
        <v>740</v>
      </c>
      <c r="C408" s="15" t="s">
        <v>1709</v>
      </c>
      <c r="D408" s="15" t="str">
        <f aca="false">IF(ISNUMBER(MATCH(B408,Pages!$B$2:$B$98,0)),"Yes","Check")</f>
        <v>Yes</v>
      </c>
    </row>
    <row r="409" customFormat="false" ht="15" hidden="false" customHeight="false" outlineLevel="0" collapsed="false">
      <c r="A409" s="15" t="s">
        <v>359</v>
      </c>
      <c r="B409" s="15" t="s">
        <v>116</v>
      </c>
      <c r="C409" s="15" t="s">
        <v>1605</v>
      </c>
      <c r="D409" s="15" t="str">
        <f aca="false">IF(ISNUMBER(MATCH(B409,Pages!$B$2:$B$98,0)),"Yes","Check")</f>
        <v>Yes</v>
      </c>
    </row>
    <row r="410" customFormat="false" ht="15" hidden="false" customHeight="false" outlineLevel="0" collapsed="false">
      <c r="A410" s="15" t="s">
        <v>359</v>
      </c>
      <c r="B410" s="15" t="s">
        <v>441</v>
      </c>
      <c r="C410" s="15" t="s">
        <v>1710</v>
      </c>
      <c r="D410" s="15" t="str">
        <f aca="false">IF(ISNUMBER(MATCH(B410,Pages!$B$2:$B$98,0)),"Yes","Check")</f>
        <v>Yes</v>
      </c>
    </row>
    <row r="411" customFormat="false" ht="15" hidden="false" customHeight="false" outlineLevel="0" collapsed="false">
      <c r="A411" s="15" t="s">
        <v>359</v>
      </c>
      <c r="B411" s="15" t="s">
        <v>740</v>
      </c>
      <c r="C411" s="15" t="s">
        <v>1662</v>
      </c>
      <c r="D411" s="15" t="str">
        <f aca="false">IF(ISNUMBER(MATCH(B411,Pages!$B$2:$B$98,0)),"Yes","Check")</f>
        <v>Yes</v>
      </c>
    </row>
    <row r="412" customFormat="false" ht="15" hidden="false" customHeight="false" outlineLevel="0" collapsed="false">
      <c r="A412" s="15" t="s">
        <v>359</v>
      </c>
      <c r="B412" s="15" t="s">
        <v>783</v>
      </c>
      <c r="C412" s="15" t="s">
        <v>1646</v>
      </c>
      <c r="D412" s="15" t="str">
        <f aca="false">IF(ISNUMBER(MATCH(B412,Pages!$B$2:$B$98,0)),"Yes","Check")</f>
        <v>Yes</v>
      </c>
    </row>
    <row r="413" customFormat="false" ht="15" hidden="false" customHeight="false" outlineLevel="0" collapsed="false">
      <c r="A413" s="15" t="s">
        <v>359</v>
      </c>
      <c r="B413" s="15" t="s">
        <v>116</v>
      </c>
      <c r="C413" s="15" t="s">
        <v>1483</v>
      </c>
      <c r="D413" s="15" t="str">
        <f aca="false">IF(ISNUMBER(MATCH(B413,Pages!$B$2:$B$98,0)),"Yes","Check")</f>
        <v>Yes</v>
      </c>
    </row>
    <row r="414" customFormat="false" ht="15" hidden="false" customHeight="false" outlineLevel="0" collapsed="false">
      <c r="A414" s="15" t="s">
        <v>368</v>
      </c>
      <c r="B414" s="15" t="s">
        <v>322</v>
      </c>
      <c r="C414" s="15" t="s">
        <v>326</v>
      </c>
      <c r="D414" s="15" t="str">
        <f aca="false">IF(ISNUMBER(MATCH(B414,Pages!$B$2:$B$98,0)),"Yes","Check")</f>
        <v>Yes</v>
      </c>
    </row>
    <row r="415" customFormat="false" ht="15" hidden="false" customHeight="false" outlineLevel="0" collapsed="false">
      <c r="A415" s="15" t="s">
        <v>368</v>
      </c>
      <c r="B415" s="15" t="s">
        <v>183</v>
      </c>
      <c r="C415" s="15" t="s">
        <v>1487</v>
      </c>
      <c r="D415" s="15" t="str">
        <f aca="false">IF(ISNUMBER(MATCH(B415,Pages!$B$2:$B$98,0)),"Yes","Check")</f>
        <v>Yes</v>
      </c>
    </row>
    <row r="416" customFormat="false" ht="15" hidden="false" customHeight="false" outlineLevel="0" collapsed="false">
      <c r="A416" s="15" t="s">
        <v>368</v>
      </c>
      <c r="B416" s="15" t="s">
        <v>331</v>
      </c>
      <c r="C416" s="15" t="s">
        <v>1500</v>
      </c>
      <c r="D416" s="15" t="str">
        <f aca="false">IF(ISNUMBER(MATCH(B416,Pages!$B$2:$B$98,0)),"Yes","Check")</f>
        <v>Yes</v>
      </c>
    </row>
    <row r="417" customFormat="false" ht="15" hidden="false" customHeight="false" outlineLevel="0" collapsed="false">
      <c r="A417" s="15" t="s">
        <v>368</v>
      </c>
      <c r="B417" s="15" t="s">
        <v>908</v>
      </c>
      <c r="C417" s="15" t="s">
        <v>1620</v>
      </c>
      <c r="D417" s="15" t="str">
        <f aca="false">IF(ISNUMBER(MATCH(B417,Pages!$B$2:$B$98,0)),"Yes","Check")</f>
        <v>Yes</v>
      </c>
    </row>
    <row r="418" customFormat="false" ht="15" hidden="false" customHeight="false" outlineLevel="0" collapsed="false">
      <c r="A418" s="15" t="s">
        <v>368</v>
      </c>
      <c r="B418" s="15" t="s">
        <v>766</v>
      </c>
      <c r="C418" s="15" t="s">
        <v>1687</v>
      </c>
      <c r="D418" s="15" t="str">
        <f aca="false">IF(ISNUMBER(MATCH(B418,Pages!$B$2:$B$98,0)),"Yes","Check")</f>
        <v>Yes</v>
      </c>
    </row>
    <row r="419" customFormat="false" ht="15" hidden="false" customHeight="false" outlineLevel="0" collapsed="false">
      <c r="A419" s="15" t="s">
        <v>368</v>
      </c>
      <c r="B419" s="15" t="s">
        <v>748</v>
      </c>
      <c r="C419" s="15" t="s">
        <v>1490</v>
      </c>
      <c r="D419" s="15" t="str">
        <f aca="false">IF(ISNUMBER(MATCH(B419,Pages!$B$2:$B$98,0)),"Yes","Check")</f>
        <v>Yes</v>
      </c>
    </row>
    <row r="420" customFormat="false" ht="15" hidden="false" customHeight="false" outlineLevel="0" collapsed="false">
      <c r="A420" s="15" t="s">
        <v>368</v>
      </c>
      <c r="B420" s="15" t="s">
        <v>217</v>
      </c>
      <c r="C420" s="15" t="s">
        <v>1711</v>
      </c>
      <c r="D420" s="15" t="str">
        <f aca="false">IF(ISNUMBER(MATCH(B420,Pages!$B$2:$B$98,0)),"Yes","Check")</f>
        <v>Yes</v>
      </c>
    </row>
    <row r="421" customFormat="false" ht="15" hidden="false" customHeight="false" outlineLevel="0" collapsed="false">
      <c r="A421" s="15" t="s">
        <v>368</v>
      </c>
      <c r="B421" s="15" t="s">
        <v>116</v>
      </c>
      <c r="C421" s="15" t="s">
        <v>1605</v>
      </c>
      <c r="D421" s="15" t="str">
        <f aca="false">IF(ISNUMBER(MATCH(B421,Pages!$B$2:$B$98,0)),"Yes","Check")</f>
        <v>Yes</v>
      </c>
    </row>
    <row r="422" customFormat="false" ht="15" hidden="false" customHeight="false" outlineLevel="0" collapsed="false">
      <c r="A422" s="15" t="s">
        <v>368</v>
      </c>
      <c r="B422" s="15" t="s">
        <v>748</v>
      </c>
      <c r="C422" s="15" t="s">
        <v>1616</v>
      </c>
      <c r="D422" s="15" t="str">
        <f aca="false">IF(ISNUMBER(MATCH(B422,Pages!$B$2:$B$98,0)),"Yes","Check")</f>
        <v>Yes</v>
      </c>
    </row>
    <row r="423" customFormat="false" ht="23.85" hidden="false" customHeight="false" outlineLevel="0" collapsed="false">
      <c r="A423" s="15" t="s">
        <v>368</v>
      </c>
      <c r="B423" s="15" t="s">
        <v>766</v>
      </c>
      <c r="C423" s="15" t="s">
        <v>1712</v>
      </c>
      <c r="D423" s="15" t="str">
        <f aca="false">IF(ISNUMBER(MATCH(B423,Pages!$B$2:$B$98,0)),"Yes","Check")</f>
        <v>Yes</v>
      </c>
    </row>
    <row r="424" customFormat="false" ht="15" hidden="false" customHeight="false" outlineLevel="0" collapsed="false">
      <c r="A424" s="15" t="s">
        <v>368</v>
      </c>
      <c r="B424" s="15" t="s">
        <v>908</v>
      </c>
      <c r="C424" s="15" t="s">
        <v>1627</v>
      </c>
      <c r="D424" s="15" t="str">
        <f aca="false">IF(ISNUMBER(MATCH(B424,Pages!$B$2:$B$98,0)),"Yes","Check")</f>
        <v>Yes</v>
      </c>
    </row>
    <row r="425" customFormat="false" ht="15" hidden="false" customHeight="false" outlineLevel="0" collapsed="false">
      <c r="A425" s="15" t="s">
        <v>368</v>
      </c>
      <c r="B425" s="15" t="s">
        <v>116</v>
      </c>
      <c r="C425" s="15" t="s">
        <v>1483</v>
      </c>
      <c r="D425" s="15" t="str">
        <f aca="false">IF(ISNUMBER(MATCH(B425,Pages!$B$2:$B$98,0)),"Yes","Check")</f>
        <v>Yes</v>
      </c>
    </row>
    <row r="426" customFormat="false" ht="15" hidden="false" customHeight="false" outlineLevel="0" collapsed="false">
      <c r="A426" s="15" t="s">
        <v>377</v>
      </c>
      <c r="B426" s="15" t="s">
        <v>183</v>
      </c>
      <c r="C426" s="15" t="s">
        <v>1487</v>
      </c>
      <c r="D426" s="15" t="str">
        <f aca="false">IF(ISNUMBER(MATCH(B426,Pages!$B$2:$B$98,0)),"Yes","Check")</f>
        <v>Yes</v>
      </c>
    </row>
    <row r="427" customFormat="false" ht="15" hidden="false" customHeight="false" outlineLevel="0" collapsed="false">
      <c r="A427" s="15" t="s">
        <v>377</v>
      </c>
      <c r="B427" s="15" t="s">
        <v>688</v>
      </c>
      <c r="C427" s="15" t="s">
        <v>1713</v>
      </c>
      <c r="D427" s="15" t="str">
        <f aca="false">IF(ISNUMBER(MATCH(B427,Pages!$B$2:$B$98,0)),"Yes","Check")</f>
        <v>Yes</v>
      </c>
    </row>
    <row r="428" customFormat="false" ht="15" hidden="false" customHeight="false" outlineLevel="0" collapsed="false">
      <c r="A428" s="15" t="s">
        <v>377</v>
      </c>
      <c r="B428" s="15" t="s">
        <v>740</v>
      </c>
      <c r="C428" s="15" t="s">
        <v>1709</v>
      </c>
      <c r="D428" s="15" t="str">
        <f aca="false">IF(ISNUMBER(MATCH(B428,Pages!$B$2:$B$98,0)),"Yes","Check")</f>
        <v>Yes</v>
      </c>
    </row>
    <row r="429" customFormat="false" ht="15" hidden="false" customHeight="false" outlineLevel="0" collapsed="false">
      <c r="A429" s="15" t="s">
        <v>377</v>
      </c>
      <c r="B429" s="15" t="s">
        <v>322</v>
      </c>
      <c r="C429" s="15" t="s">
        <v>326</v>
      </c>
      <c r="D429" s="15" t="str">
        <f aca="false">IF(ISNUMBER(MATCH(B429,Pages!$B$2:$B$98,0)),"Yes","Check")</f>
        <v>Yes</v>
      </c>
    </row>
    <row r="430" customFormat="false" ht="15" hidden="false" customHeight="false" outlineLevel="0" collapsed="false">
      <c r="A430" s="15" t="s">
        <v>377</v>
      </c>
      <c r="B430" s="15" t="s">
        <v>775</v>
      </c>
      <c r="C430" s="15" t="s">
        <v>1673</v>
      </c>
      <c r="D430" s="15" t="str">
        <f aca="false">IF(ISNUMBER(MATCH(B430,Pages!$B$2:$B$98,0)),"Yes","Check")</f>
        <v>Yes</v>
      </c>
    </row>
    <row r="431" customFormat="false" ht="15" hidden="false" customHeight="false" outlineLevel="0" collapsed="false">
      <c r="A431" s="15" t="s">
        <v>377</v>
      </c>
      <c r="B431" s="15" t="s">
        <v>967</v>
      </c>
      <c r="C431" s="15" t="s">
        <v>1706</v>
      </c>
      <c r="D431" s="15" t="str">
        <f aca="false">IF(ISNUMBER(MATCH(B431,Pages!$B$2:$B$98,0)),"Yes","Check")</f>
        <v>Yes</v>
      </c>
    </row>
    <row r="432" customFormat="false" ht="15" hidden="false" customHeight="false" outlineLevel="0" collapsed="false">
      <c r="A432" s="15" t="s">
        <v>377</v>
      </c>
      <c r="B432" s="15" t="s">
        <v>662</v>
      </c>
      <c r="C432" s="15" t="s">
        <v>1714</v>
      </c>
      <c r="D432" s="15" t="str">
        <f aca="false">IF(ISNUMBER(MATCH(B432,Pages!$B$2:$B$98,0)),"Yes","Check")</f>
        <v>Yes</v>
      </c>
    </row>
    <row r="433" customFormat="false" ht="15" hidden="false" customHeight="false" outlineLevel="0" collapsed="false">
      <c r="A433" s="15" t="s">
        <v>377</v>
      </c>
      <c r="B433" s="15" t="s">
        <v>116</v>
      </c>
      <c r="C433" s="15" t="s">
        <v>1605</v>
      </c>
      <c r="D433" s="15" t="str">
        <f aca="false">IF(ISNUMBER(MATCH(B433,Pages!$B$2:$B$98,0)),"Yes","Check")</f>
        <v>Yes</v>
      </c>
    </row>
    <row r="434" customFormat="false" ht="23.85" hidden="false" customHeight="false" outlineLevel="0" collapsed="false">
      <c r="A434" s="15" t="s">
        <v>377</v>
      </c>
      <c r="B434" s="15" t="s">
        <v>662</v>
      </c>
      <c r="C434" s="15" t="s">
        <v>1615</v>
      </c>
      <c r="D434" s="15" t="str">
        <f aca="false">IF(ISNUMBER(MATCH(B434,Pages!$B$2:$B$98,0)),"Yes","Check")</f>
        <v>Yes</v>
      </c>
    </row>
    <row r="435" customFormat="false" ht="15" hidden="false" customHeight="false" outlineLevel="0" collapsed="false">
      <c r="A435" s="15" t="s">
        <v>377</v>
      </c>
      <c r="B435" s="15" t="s">
        <v>688</v>
      </c>
      <c r="C435" s="15" t="s">
        <v>1715</v>
      </c>
      <c r="D435" s="15" t="str">
        <f aca="false">IF(ISNUMBER(MATCH(B435,Pages!$B$2:$B$98,0)),"Yes","Check")</f>
        <v>Yes</v>
      </c>
    </row>
    <row r="436" customFormat="false" ht="15" hidden="false" customHeight="false" outlineLevel="0" collapsed="false">
      <c r="A436" s="15" t="s">
        <v>377</v>
      </c>
      <c r="B436" s="15" t="s">
        <v>775</v>
      </c>
      <c r="C436" s="15" t="s">
        <v>1677</v>
      </c>
      <c r="D436" s="15" t="str">
        <f aca="false">IF(ISNUMBER(MATCH(B436,Pages!$B$2:$B$98,0)),"Yes","Check")</f>
        <v>Yes</v>
      </c>
    </row>
    <row r="437" customFormat="false" ht="15" hidden="false" customHeight="false" outlineLevel="0" collapsed="false">
      <c r="A437" s="15" t="s">
        <v>377</v>
      </c>
      <c r="B437" s="15" t="s">
        <v>967</v>
      </c>
      <c r="C437" s="15" t="s">
        <v>1716</v>
      </c>
      <c r="D437" s="15" t="str">
        <f aca="false">IF(ISNUMBER(MATCH(B437,Pages!$B$2:$B$98,0)),"Yes","Check")</f>
        <v>Yes</v>
      </c>
    </row>
    <row r="438" customFormat="false" ht="15" hidden="false" customHeight="false" outlineLevel="0" collapsed="false">
      <c r="A438" s="15" t="s">
        <v>377</v>
      </c>
      <c r="B438" s="15" t="s">
        <v>740</v>
      </c>
      <c r="C438" s="15" t="s">
        <v>1662</v>
      </c>
      <c r="D438" s="15" t="str">
        <f aca="false">IF(ISNUMBER(MATCH(B438,Pages!$B$2:$B$98,0)),"Yes","Check")</f>
        <v>Yes</v>
      </c>
    </row>
    <row r="439" customFormat="false" ht="15" hidden="false" customHeight="false" outlineLevel="0" collapsed="false">
      <c r="A439" s="15" t="s">
        <v>377</v>
      </c>
      <c r="B439" s="15" t="s">
        <v>116</v>
      </c>
      <c r="C439" s="15" t="s">
        <v>1483</v>
      </c>
      <c r="D439" s="15" t="str">
        <f aca="false">IF(ISNUMBER(MATCH(B439,Pages!$B$2:$B$98,0)),"Yes","Check")</f>
        <v>Yes</v>
      </c>
    </row>
    <row r="440" customFormat="false" ht="15" hidden="false" customHeight="false" outlineLevel="0" collapsed="false">
      <c r="A440" s="15" t="s">
        <v>386</v>
      </c>
      <c r="B440" s="15" t="s">
        <v>531</v>
      </c>
      <c r="C440" s="15" t="s">
        <v>1686</v>
      </c>
      <c r="D440" s="15" t="str">
        <f aca="false">IF(ISNUMBER(MATCH(B440,Pages!$B$2:$B$98,0)),"Yes","Check")</f>
        <v>Yes</v>
      </c>
    </row>
    <row r="441" customFormat="false" ht="15" hidden="false" customHeight="false" outlineLevel="0" collapsed="false">
      <c r="A441" s="15" t="s">
        <v>386</v>
      </c>
      <c r="B441" s="15" t="s">
        <v>450</v>
      </c>
      <c r="C441" s="15" t="s">
        <v>1482</v>
      </c>
      <c r="D441" s="15" t="str">
        <f aca="false">IF(ISNUMBER(MATCH(B441,Pages!$B$2:$B$98,0)),"Yes","Check")</f>
        <v>Yes</v>
      </c>
    </row>
    <row r="442" customFormat="false" ht="15" hidden="false" customHeight="false" outlineLevel="0" collapsed="false">
      <c r="A442" s="15" t="s">
        <v>386</v>
      </c>
      <c r="B442" s="15" t="s">
        <v>943</v>
      </c>
      <c r="C442" s="15" t="s">
        <v>1717</v>
      </c>
      <c r="D442" s="15" t="str">
        <f aca="false">IF(ISNUMBER(MATCH(B442,Pages!$B$2:$B$98,0)),"Yes","Check")</f>
        <v>Yes</v>
      </c>
    </row>
    <row r="443" customFormat="false" ht="15" hidden="false" customHeight="false" outlineLevel="0" collapsed="false">
      <c r="A443" s="15" t="s">
        <v>386</v>
      </c>
      <c r="B443" s="15" t="s">
        <v>522</v>
      </c>
      <c r="C443" s="15" t="s">
        <v>1718</v>
      </c>
      <c r="D443" s="15" t="str">
        <f aca="false">IF(ISNUMBER(MATCH(B443,Pages!$B$2:$B$98,0)),"Yes","Check")</f>
        <v>Yes</v>
      </c>
    </row>
    <row r="444" customFormat="false" ht="15" hidden="false" customHeight="false" outlineLevel="0" collapsed="false">
      <c r="A444" s="15" t="s">
        <v>386</v>
      </c>
      <c r="B444" s="15" t="s">
        <v>977</v>
      </c>
      <c r="C444" s="15" t="s">
        <v>1719</v>
      </c>
      <c r="D444" s="15" t="str">
        <f aca="false">IF(ISNUMBER(MATCH(B444,Pages!$B$2:$B$98,0)),"Yes","Check")</f>
        <v>Yes</v>
      </c>
    </row>
    <row r="445" customFormat="false" ht="15" hidden="false" customHeight="false" outlineLevel="0" collapsed="false">
      <c r="A445" s="15" t="s">
        <v>386</v>
      </c>
      <c r="B445" s="15" t="s">
        <v>116</v>
      </c>
      <c r="C445" s="15" t="s">
        <v>1605</v>
      </c>
      <c r="D445" s="15" t="str">
        <f aca="false">IF(ISNUMBER(MATCH(B445,Pages!$B$2:$B$98,0)),"Yes","Check")</f>
        <v>Yes</v>
      </c>
    </row>
    <row r="446" customFormat="false" ht="15" hidden="false" customHeight="false" outlineLevel="0" collapsed="false">
      <c r="A446" s="15" t="s">
        <v>386</v>
      </c>
      <c r="B446" s="15" t="s">
        <v>450</v>
      </c>
      <c r="C446" s="15" t="s">
        <v>1630</v>
      </c>
      <c r="D446" s="15" t="str">
        <f aca="false">IF(ISNUMBER(MATCH(B446,Pages!$B$2:$B$98,0)),"Yes","Check")</f>
        <v>Yes</v>
      </c>
    </row>
    <row r="447" customFormat="false" ht="23.85" hidden="false" customHeight="false" outlineLevel="0" collapsed="false">
      <c r="A447" s="15" t="s">
        <v>386</v>
      </c>
      <c r="B447" s="15" t="s">
        <v>522</v>
      </c>
      <c r="C447" s="15" t="s">
        <v>1720</v>
      </c>
      <c r="D447" s="15" t="str">
        <f aca="false">IF(ISNUMBER(MATCH(B447,Pages!$B$2:$B$98,0)),"Yes","Check")</f>
        <v>Yes</v>
      </c>
    </row>
    <row r="448" customFormat="false" ht="23.85" hidden="false" customHeight="false" outlineLevel="0" collapsed="false">
      <c r="A448" s="15" t="s">
        <v>386</v>
      </c>
      <c r="B448" s="15" t="s">
        <v>943</v>
      </c>
      <c r="C448" s="15" t="s">
        <v>1721</v>
      </c>
      <c r="D448" s="15" t="str">
        <f aca="false">IF(ISNUMBER(MATCH(B448,Pages!$B$2:$B$98,0)),"Yes","Check")</f>
        <v>Yes</v>
      </c>
    </row>
    <row r="449" customFormat="false" ht="15" hidden="false" customHeight="false" outlineLevel="0" collapsed="false">
      <c r="A449" s="15" t="s">
        <v>386</v>
      </c>
      <c r="B449" s="15" t="s">
        <v>422</v>
      </c>
      <c r="C449" s="15" t="s">
        <v>1722</v>
      </c>
      <c r="D449" s="15" t="str">
        <f aca="false">IF(ISNUMBER(MATCH(B449,Pages!$B$2:$B$98,0)),"Yes","Check")</f>
        <v>Yes</v>
      </c>
    </row>
    <row r="450" customFormat="false" ht="15" hidden="false" customHeight="false" outlineLevel="0" collapsed="false">
      <c r="A450" s="15" t="s">
        <v>386</v>
      </c>
      <c r="B450" s="15" t="s">
        <v>116</v>
      </c>
      <c r="C450" s="15" t="s">
        <v>1483</v>
      </c>
      <c r="D450" s="15" t="str">
        <f aca="false">IF(ISNUMBER(MATCH(B450,Pages!$B$2:$B$98,0)),"Yes","Check")</f>
        <v>Yes</v>
      </c>
    </row>
    <row r="451" customFormat="false" ht="15" hidden="false" customHeight="false" outlineLevel="0" collapsed="false">
      <c r="A451" s="15" t="s">
        <v>395</v>
      </c>
      <c r="B451" s="15" t="s">
        <v>183</v>
      </c>
      <c r="C451" s="15" t="s">
        <v>1487</v>
      </c>
      <c r="D451" s="15" t="str">
        <f aca="false">IF(ISNUMBER(MATCH(B451,Pages!$B$2:$B$98,0)),"Yes","Check")</f>
        <v>Yes</v>
      </c>
    </row>
    <row r="452" customFormat="false" ht="15" hidden="false" customHeight="false" outlineLevel="0" collapsed="false">
      <c r="A452" s="15" t="s">
        <v>395</v>
      </c>
      <c r="B452" s="15" t="s">
        <v>349</v>
      </c>
      <c r="C452" s="15" t="s">
        <v>1699</v>
      </c>
      <c r="D452" s="15" t="str">
        <f aca="false">IF(ISNUMBER(MATCH(B452,Pages!$B$2:$B$98,0)),"Yes","Check")</f>
        <v>Yes</v>
      </c>
    </row>
    <row r="453" customFormat="false" ht="15" hidden="false" customHeight="false" outlineLevel="0" collapsed="false">
      <c r="A453" s="15" t="s">
        <v>395</v>
      </c>
      <c r="B453" s="15" t="s">
        <v>917</v>
      </c>
      <c r="C453" s="15" t="s">
        <v>1723</v>
      </c>
      <c r="D453" s="15" t="str">
        <f aca="false">IF(ISNUMBER(MATCH(B453,Pages!$B$2:$B$98,0)),"Yes","Check")</f>
        <v>Yes</v>
      </c>
    </row>
    <row r="454" customFormat="false" ht="15" hidden="false" customHeight="false" outlineLevel="0" collapsed="false">
      <c r="A454" s="15" t="s">
        <v>395</v>
      </c>
      <c r="B454" s="15" t="s">
        <v>217</v>
      </c>
      <c r="C454" s="15" t="s">
        <v>1669</v>
      </c>
      <c r="D454" s="15" t="str">
        <f aca="false">IF(ISNUMBER(MATCH(B454,Pages!$B$2:$B$98,0)),"Yes","Check")</f>
        <v>Yes</v>
      </c>
    </row>
    <row r="455" customFormat="false" ht="15" hidden="false" customHeight="false" outlineLevel="0" collapsed="false">
      <c r="A455" s="15" t="s">
        <v>395</v>
      </c>
      <c r="B455" s="15" t="s">
        <v>810</v>
      </c>
      <c r="C455" s="15" t="s">
        <v>1698</v>
      </c>
      <c r="D455" s="15" t="str">
        <f aca="false">IF(ISNUMBER(MATCH(B455,Pages!$B$2:$B$98,0)),"Yes","Check")</f>
        <v>Yes</v>
      </c>
    </row>
    <row r="456" customFormat="false" ht="15" hidden="false" customHeight="false" outlineLevel="0" collapsed="false">
      <c r="A456" s="15" t="s">
        <v>395</v>
      </c>
      <c r="B456" s="15" t="s">
        <v>792</v>
      </c>
      <c r="C456" s="15" t="s">
        <v>1494</v>
      </c>
      <c r="D456" s="15" t="str">
        <f aca="false">IF(ISNUMBER(MATCH(B456,Pages!$B$2:$B$98,0)),"Yes","Check")</f>
        <v>Yes</v>
      </c>
    </row>
    <row r="457" customFormat="false" ht="15" hidden="false" customHeight="false" outlineLevel="0" collapsed="false">
      <c r="A457" s="15" t="s">
        <v>395</v>
      </c>
      <c r="B457" s="15" t="s">
        <v>116</v>
      </c>
      <c r="C457" s="15" t="s">
        <v>1605</v>
      </c>
      <c r="D457" s="15" t="str">
        <f aca="false">IF(ISNUMBER(MATCH(B457,Pages!$B$2:$B$98,0)),"Yes","Check")</f>
        <v>Yes</v>
      </c>
    </row>
    <row r="458" customFormat="false" ht="15" hidden="false" customHeight="false" outlineLevel="0" collapsed="false">
      <c r="A458" s="15" t="s">
        <v>395</v>
      </c>
      <c r="B458" s="15" t="s">
        <v>217</v>
      </c>
      <c r="C458" s="15" t="s">
        <v>1724</v>
      </c>
      <c r="D458" s="15" t="str">
        <f aca="false">IF(ISNUMBER(MATCH(B458,Pages!$B$2:$B$98,0)),"Yes","Check")</f>
        <v>Yes</v>
      </c>
    </row>
    <row r="459" customFormat="false" ht="23.85" hidden="false" customHeight="false" outlineLevel="0" collapsed="false">
      <c r="A459" s="15" t="s">
        <v>395</v>
      </c>
      <c r="B459" s="15" t="s">
        <v>349</v>
      </c>
      <c r="C459" s="15" t="s">
        <v>1638</v>
      </c>
      <c r="D459" s="15" t="str">
        <f aca="false">IF(ISNUMBER(MATCH(B459,Pages!$B$2:$B$98,0)),"Yes","Check")</f>
        <v>Yes</v>
      </c>
    </row>
    <row r="460" customFormat="false" ht="15" hidden="false" customHeight="false" outlineLevel="0" collapsed="false">
      <c r="A460" s="15" t="s">
        <v>395</v>
      </c>
      <c r="B460" s="15" t="s">
        <v>810</v>
      </c>
      <c r="C460" s="15" t="s">
        <v>1640</v>
      </c>
      <c r="D460" s="15" t="str">
        <f aca="false">IF(ISNUMBER(MATCH(B460,Pages!$B$2:$B$98,0)),"Yes","Check")</f>
        <v>Yes</v>
      </c>
    </row>
    <row r="461" customFormat="false" ht="23.85" hidden="false" customHeight="false" outlineLevel="0" collapsed="false">
      <c r="A461" s="15" t="s">
        <v>395</v>
      </c>
      <c r="B461" s="15" t="s">
        <v>917</v>
      </c>
      <c r="C461" s="15" t="s">
        <v>1725</v>
      </c>
      <c r="D461" s="15" t="str">
        <f aca="false">IF(ISNUMBER(MATCH(B461,Pages!$B$2:$B$98,0)),"Yes","Check")</f>
        <v>Yes</v>
      </c>
    </row>
    <row r="462" customFormat="false" ht="15" hidden="false" customHeight="false" outlineLevel="0" collapsed="false">
      <c r="A462" s="15" t="s">
        <v>395</v>
      </c>
      <c r="B462" s="15" t="s">
        <v>422</v>
      </c>
      <c r="C462" s="15" t="s">
        <v>1722</v>
      </c>
      <c r="D462" s="15" t="str">
        <f aca="false">IF(ISNUMBER(MATCH(B462,Pages!$B$2:$B$98,0)),"Yes","Check")</f>
        <v>Yes</v>
      </c>
    </row>
    <row r="463" customFormat="false" ht="15" hidden="false" customHeight="false" outlineLevel="0" collapsed="false">
      <c r="A463" s="15" t="s">
        <v>395</v>
      </c>
      <c r="B463" s="15" t="s">
        <v>934</v>
      </c>
      <c r="C463" s="15" t="s">
        <v>1617</v>
      </c>
      <c r="D463" s="15" t="str">
        <f aca="false">IF(ISNUMBER(MATCH(B463,Pages!$B$2:$B$98,0)),"Yes","Check")</f>
        <v>Yes</v>
      </c>
    </row>
    <row r="464" customFormat="false" ht="15" hidden="false" customHeight="false" outlineLevel="0" collapsed="false">
      <c r="A464" s="15" t="s">
        <v>395</v>
      </c>
      <c r="B464" s="15" t="s">
        <v>116</v>
      </c>
      <c r="C464" s="15" t="s">
        <v>1483</v>
      </c>
      <c r="D464" s="15" t="str">
        <f aca="false">IF(ISNUMBER(MATCH(B464,Pages!$B$2:$B$98,0)),"Yes","Check")</f>
        <v>Yes</v>
      </c>
    </row>
    <row r="465" customFormat="false" ht="15" hidden="false" customHeight="false" outlineLevel="0" collapsed="false">
      <c r="A465" s="15" t="s">
        <v>404</v>
      </c>
      <c r="B465" s="15" t="s">
        <v>688</v>
      </c>
      <c r="C465" s="15" t="s">
        <v>1726</v>
      </c>
      <c r="D465" s="15" t="str">
        <f aca="false">IF(ISNUMBER(MATCH(B465,Pages!$B$2:$B$98,0)),"Yes","Check")</f>
        <v>Yes</v>
      </c>
    </row>
    <row r="466" customFormat="false" ht="15" hidden="false" customHeight="false" outlineLevel="0" collapsed="false">
      <c r="A466" s="15" t="s">
        <v>404</v>
      </c>
      <c r="B466" s="15" t="s">
        <v>377</v>
      </c>
      <c r="C466" s="15" t="s">
        <v>1727</v>
      </c>
      <c r="D466" s="15" t="str">
        <f aca="false">IF(ISNUMBER(MATCH(B466,Pages!$B$2:$B$98,0)),"Yes","Check")</f>
        <v>Yes</v>
      </c>
    </row>
    <row r="467" customFormat="false" ht="15" hidden="false" customHeight="false" outlineLevel="0" collapsed="false">
      <c r="A467" s="15" t="s">
        <v>404</v>
      </c>
      <c r="B467" s="15" t="s">
        <v>522</v>
      </c>
      <c r="C467" s="15" t="s">
        <v>1718</v>
      </c>
      <c r="D467" s="15" t="str">
        <f aca="false">IF(ISNUMBER(MATCH(B467,Pages!$B$2:$B$98,0)),"Yes","Check")</f>
        <v>Yes</v>
      </c>
    </row>
    <row r="468" customFormat="false" ht="15" hidden="false" customHeight="false" outlineLevel="0" collapsed="false">
      <c r="A468" s="15" t="s">
        <v>404</v>
      </c>
      <c r="B468" s="15" t="s">
        <v>138</v>
      </c>
      <c r="C468" s="15" t="s">
        <v>1728</v>
      </c>
      <c r="D468" s="15" t="str">
        <f aca="false">IF(ISNUMBER(MATCH(B468,Pages!$B$2:$B$98,0)),"Yes","Check")</f>
        <v>Yes</v>
      </c>
    </row>
    <row r="469" customFormat="false" ht="15" hidden="false" customHeight="false" outlineLevel="0" collapsed="false">
      <c r="A469" s="15" t="s">
        <v>404</v>
      </c>
      <c r="B469" s="15" t="s">
        <v>967</v>
      </c>
      <c r="C469" s="15" t="s">
        <v>1706</v>
      </c>
      <c r="D469" s="15" t="str">
        <f aca="false">IF(ISNUMBER(MATCH(B469,Pages!$B$2:$B$98,0)),"Yes","Check")</f>
        <v>Yes</v>
      </c>
    </row>
    <row r="470" customFormat="false" ht="15" hidden="false" customHeight="false" outlineLevel="0" collapsed="false">
      <c r="A470" s="15" t="s">
        <v>404</v>
      </c>
      <c r="B470" s="15" t="s">
        <v>116</v>
      </c>
      <c r="C470" s="15" t="s">
        <v>1605</v>
      </c>
      <c r="D470" s="15" t="str">
        <f aca="false">IF(ISNUMBER(MATCH(B470,Pages!$B$2:$B$98,0)),"Yes","Check")</f>
        <v>Yes</v>
      </c>
    </row>
    <row r="471" customFormat="false" ht="23.85" hidden="false" customHeight="false" outlineLevel="0" collapsed="false">
      <c r="A471" s="15" t="s">
        <v>404</v>
      </c>
      <c r="B471" s="15" t="s">
        <v>377</v>
      </c>
      <c r="C471" s="15" t="s">
        <v>1729</v>
      </c>
      <c r="D471" s="15" t="str">
        <f aca="false">IF(ISNUMBER(MATCH(B471,Pages!$B$2:$B$98,0)),"Yes","Check")</f>
        <v>Yes</v>
      </c>
    </row>
    <row r="472" customFormat="false" ht="23.85" hidden="false" customHeight="false" outlineLevel="0" collapsed="false">
      <c r="A472" s="15" t="s">
        <v>404</v>
      </c>
      <c r="B472" s="15" t="s">
        <v>522</v>
      </c>
      <c r="C472" s="15" t="s">
        <v>1720</v>
      </c>
      <c r="D472" s="15" t="str">
        <f aca="false">IF(ISNUMBER(MATCH(B472,Pages!$B$2:$B$98,0)),"Yes","Check")</f>
        <v>Yes</v>
      </c>
    </row>
    <row r="473" customFormat="false" ht="15" hidden="false" customHeight="false" outlineLevel="0" collapsed="false">
      <c r="A473" s="15" t="s">
        <v>404</v>
      </c>
      <c r="B473" s="15" t="s">
        <v>688</v>
      </c>
      <c r="C473" s="15" t="s">
        <v>1715</v>
      </c>
      <c r="D473" s="15" t="str">
        <f aca="false">IF(ISNUMBER(MATCH(B473,Pages!$B$2:$B$98,0)),"Yes","Check")</f>
        <v>Yes</v>
      </c>
    </row>
    <row r="474" customFormat="false" ht="15" hidden="false" customHeight="false" outlineLevel="0" collapsed="false">
      <c r="A474" s="15" t="s">
        <v>404</v>
      </c>
      <c r="B474" s="15" t="s">
        <v>620</v>
      </c>
      <c r="C474" s="15" t="s">
        <v>1730</v>
      </c>
      <c r="D474" s="15" t="str">
        <f aca="false">IF(ISNUMBER(MATCH(B474,Pages!$B$2:$B$98,0)),"Yes","Check")</f>
        <v>Yes</v>
      </c>
    </row>
    <row r="475" customFormat="false" ht="15" hidden="false" customHeight="false" outlineLevel="0" collapsed="false">
      <c r="A475" s="15" t="s">
        <v>404</v>
      </c>
      <c r="B475" s="15" t="s">
        <v>934</v>
      </c>
      <c r="C475" s="15" t="s">
        <v>1617</v>
      </c>
      <c r="D475" s="15" t="str">
        <f aca="false">IF(ISNUMBER(MATCH(B475,Pages!$B$2:$B$98,0)),"Yes","Check")</f>
        <v>Yes</v>
      </c>
    </row>
    <row r="476" customFormat="false" ht="15" hidden="false" customHeight="false" outlineLevel="0" collapsed="false">
      <c r="A476" s="15" t="s">
        <v>404</v>
      </c>
      <c r="B476" s="15" t="s">
        <v>116</v>
      </c>
      <c r="C476" s="15" t="s">
        <v>1483</v>
      </c>
      <c r="D476" s="15" t="str">
        <f aca="false">IF(ISNUMBER(MATCH(B476,Pages!$B$2:$B$98,0)),"Yes","Check")</f>
        <v>Yes</v>
      </c>
    </row>
    <row r="477" customFormat="false" ht="15" hidden="false" customHeight="false" outlineLevel="0" collapsed="false">
      <c r="A477" s="15" t="s">
        <v>413</v>
      </c>
      <c r="B477" s="15" t="s">
        <v>217</v>
      </c>
      <c r="C477" s="15" t="s">
        <v>1669</v>
      </c>
      <c r="D477" s="15" t="str">
        <f aca="false">IF(ISNUMBER(MATCH(B477,Pages!$B$2:$B$98,0)),"Yes","Check")</f>
        <v>Yes</v>
      </c>
    </row>
    <row r="478" customFormat="false" ht="15" hidden="false" customHeight="false" outlineLevel="0" collapsed="false">
      <c r="A478" s="15" t="s">
        <v>413</v>
      </c>
      <c r="B478" s="15" t="s">
        <v>459</v>
      </c>
      <c r="C478" s="15" t="s">
        <v>1651</v>
      </c>
      <c r="D478" s="15" t="str">
        <f aca="false">IF(ISNUMBER(MATCH(B478,Pages!$B$2:$B$98,0)),"Yes","Check")</f>
        <v>Yes</v>
      </c>
    </row>
    <row r="479" customFormat="false" ht="15" hidden="false" customHeight="false" outlineLevel="0" collapsed="false">
      <c r="A479" s="15" t="s">
        <v>413</v>
      </c>
      <c r="B479" s="15" t="s">
        <v>431</v>
      </c>
      <c r="C479" s="15" t="s">
        <v>1731</v>
      </c>
      <c r="D479" s="15" t="str">
        <f aca="false">IF(ISNUMBER(MATCH(B479,Pages!$B$2:$B$98,0)),"Yes","Check")</f>
        <v>Yes</v>
      </c>
    </row>
    <row r="480" customFormat="false" ht="15" hidden="false" customHeight="false" outlineLevel="0" collapsed="false">
      <c r="A480" s="15" t="s">
        <v>413</v>
      </c>
      <c r="B480" s="15" t="s">
        <v>890</v>
      </c>
      <c r="C480" s="15" t="s">
        <v>894</v>
      </c>
      <c r="D480" s="15" t="str">
        <f aca="false">IF(ISNUMBER(MATCH(B480,Pages!$B$2:$B$98,0)),"Yes","Check")</f>
        <v>Yes</v>
      </c>
    </row>
    <row r="481" customFormat="false" ht="15" hidden="false" customHeight="false" outlineLevel="0" collapsed="false">
      <c r="A481" s="15" t="s">
        <v>413</v>
      </c>
      <c r="B481" s="15" t="s">
        <v>540</v>
      </c>
      <c r="C481" s="15" t="s">
        <v>1634</v>
      </c>
      <c r="D481" s="15" t="str">
        <f aca="false">IF(ISNUMBER(MATCH(B481,Pages!$B$2:$B$98,0)),"Yes","Check")</f>
        <v>Yes</v>
      </c>
    </row>
    <row r="482" customFormat="false" ht="15" hidden="false" customHeight="false" outlineLevel="0" collapsed="false">
      <c r="A482" s="15" t="s">
        <v>413</v>
      </c>
      <c r="B482" s="15" t="s">
        <v>792</v>
      </c>
      <c r="C482" s="15" t="s">
        <v>1621</v>
      </c>
      <c r="D482" s="15" t="str">
        <f aca="false">IF(ISNUMBER(MATCH(B482,Pages!$B$2:$B$98,0)),"Yes","Check")</f>
        <v>Yes</v>
      </c>
    </row>
    <row r="483" customFormat="false" ht="15" hidden="false" customHeight="false" outlineLevel="0" collapsed="false">
      <c r="A483" s="15" t="s">
        <v>413</v>
      </c>
      <c r="B483" s="15" t="s">
        <v>183</v>
      </c>
      <c r="C483" s="15" t="s">
        <v>1506</v>
      </c>
      <c r="D483" s="15" t="str">
        <f aca="false">IF(ISNUMBER(MATCH(B483,Pages!$B$2:$B$98,0)),"Yes","Check")</f>
        <v>Yes</v>
      </c>
    </row>
    <row r="484" customFormat="false" ht="15" hidden="false" customHeight="false" outlineLevel="0" collapsed="false">
      <c r="A484" s="15" t="s">
        <v>413</v>
      </c>
      <c r="B484" s="15" t="s">
        <v>116</v>
      </c>
      <c r="C484" s="15" t="s">
        <v>1605</v>
      </c>
      <c r="D484" s="15" t="str">
        <f aca="false">IF(ISNUMBER(MATCH(B484,Pages!$B$2:$B$98,0)),"Yes","Check")</f>
        <v>Yes</v>
      </c>
    </row>
    <row r="485" customFormat="false" ht="15" hidden="false" customHeight="false" outlineLevel="0" collapsed="false">
      <c r="A485" s="15" t="s">
        <v>413</v>
      </c>
      <c r="B485" s="15" t="s">
        <v>217</v>
      </c>
      <c r="C485" s="15" t="s">
        <v>1724</v>
      </c>
      <c r="D485" s="15" t="str">
        <f aca="false">IF(ISNUMBER(MATCH(B485,Pages!$B$2:$B$98,0)),"Yes","Check")</f>
        <v>Yes</v>
      </c>
    </row>
    <row r="486" customFormat="false" ht="15" hidden="false" customHeight="false" outlineLevel="0" collapsed="false">
      <c r="A486" s="15" t="s">
        <v>413</v>
      </c>
      <c r="B486" s="15" t="s">
        <v>431</v>
      </c>
      <c r="C486" s="15" t="s">
        <v>1732</v>
      </c>
      <c r="D486" s="15" t="str">
        <f aca="false">IF(ISNUMBER(MATCH(B486,Pages!$B$2:$B$98,0)),"Yes","Check")</f>
        <v>Yes</v>
      </c>
    </row>
    <row r="487" customFormat="false" ht="23.85" hidden="false" customHeight="false" outlineLevel="0" collapsed="false">
      <c r="A487" s="15" t="s">
        <v>413</v>
      </c>
      <c r="B487" s="15" t="s">
        <v>459</v>
      </c>
      <c r="C487" s="15" t="s">
        <v>1625</v>
      </c>
      <c r="D487" s="15" t="str">
        <f aca="false">IF(ISNUMBER(MATCH(B487,Pages!$B$2:$B$98,0)),"Yes","Check")</f>
        <v>Yes</v>
      </c>
    </row>
    <row r="488" customFormat="false" ht="15" hidden="false" customHeight="false" outlineLevel="0" collapsed="false">
      <c r="A488" s="15" t="s">
        <v>413</v>
      </c>
      <c r="B488" s="15" t="s">
        <v>792</v>
      </c>
      <c r="C488" s="15" t="s">
        <v>1626</v>
      </c>
      <c r="D488" s="15" t="str">
        <f aca="false">IF(ISNUMBER(MATCH(B488,Pages!$B$2:$B$98,0)),"Yes","Check")</f>
        <v>Yes</v>
      </c>
    </row>
    <row r="489" customFormat="false" ht="15" hidden="false" customHeight="false" outlineLevel="0" collapsed="false">
      <c r="A489" s="15" t="s">
        <v>413</v>
      </c>
      <c r="B489" s="15" t="s">
        <v>125</v>
      </c>
      <c r="C489" s="15" t="s">
        <v>1606</v>
      </c>
      <c r="D489" s="15" t="str">
        <f aca="false">IF(ISNUMBER(MATCH(B489,Pages!$B$2:$B$98,0)),"Yes","Check")</f>
        <v>Yes</v>
      </c>
    </row>
    <row r="490" customFormat="false" ht="15" hidden="false" customHeight="false" outlineLevel="0" collapsed="false">
      <c r="A490" s="15" t="s">
        <v>413</v>
      </c>
      <c r="B490" s="15" t="s">
        <v>116</v>
      </c>
      <c r="C490" s="15" t="s">
        <v>1483</v>
      </c>
      <c r="D490" s="15" t="str">
        <f aca="false">IF(ISNUMBER(MATCH(B490,Pages!$B$2:$B$98,0)),"Yes","Check")</f>
        <v>Yes</v>
      </c>
    </row>
    <row r="491" customFormat="false" ht="15" hidden="false" customHeight="false" outlineLevel="0" collapsed="false">
      <c r="A491" s="15" t="s">
        <v>422</v>
      </c>
      <c r="B491" s="15" t="s">
        <v>183</v>
      </c>
      <c r="C491" s="15" t="s">
        <v>1487</v>
      </c>
      <c r="D491" s="15" t="str">
        <f aca="false">IF(ISNUMBER(MATCH(B491,Pages!$B$2:$B$98,0)),"Yes","Check")</f>
        <v>Yes</v>
      </c>
    </row>
    <row r="492" customFormat="false" ht="15" hidden="false" customHeight="false" outlineLevel="0" collapsed="false">
      <c r="A492" s="15" t="s">
        <v>422</v>
      </c>
      <c r="B492" s="15" t="s">
        <v>349</v>
      </c>
      <c r="C492" s="15" t="s">
        <v>1699</v>
      </c>
      <c r="D492" s="15" t="str">
        <f aca="false">IF(ISNUMBER(MATCH(B492,Pages!$B$2:$B$98,0)),"Yes","Check")</f>
        <v>Yes</v>
      </c>
    </row>
    <row r="493" customFormat="false" ht="15" hidden="false" customHeight="false" outlineLevel="0" collapsed="false">
      <c r="A493" s="15" t="s">
        <v>422</v>
      </c>
      <c r="B493" s="15" t="s">
        <v>395</v>
      </c>
      <c r="C493" s="15" t="s">
        <v>1697</v>
      </c>
      <c r="D493" s="15" t="str">
        <f aca="false">IF(ISNUMBER(MATCH(B493,Pages!$B$2:$B$98,0)),"Yes","Check")</f>
        <v>Yes</v>
      </c>
    </row>
    <row r="494" customFormat="false" ht="15" hidden="false" customHeight="false" outlineLevel="0" collapsed="false">
      <c r="A494" s="15" t="s">
        <v>422</v>
      </c>
      <c r="B494" s="15" t="s">
        <v>386</v>
      </c>
      <c r="C494" s="15" t="s">
        <v>1733</v>
      </c>
      <c r="D494" s="15" t="str">
        <f aca="false">IF(ISNUMBER(MATCH(B494,Pages!$B$2:$B$98,0)),"Yes","Check")</f>
        <v>Yes</v>
      </c>
    </row>
    <row r="495" customFormat="false" ht="15" hidden="false" customHeight="false" outlineLevel="0" collapsed="false">
      <c r="A495" s="15" t="s">
        <v>422</v>
      </c>
      <c r="B495" s="15" t="s">
        <v>237</v>
      </c>
      <c r="C495" s="15" t="s">
        <v>1659</v>
      </c>
      <c r="D495" s="15" t="str">
        <f aca="false">IF(ISNUMBER(MATCH(B495,Pages!$B$2:$B$98,0)),"Yes","Check")</f>
        <v>Yes</v>
      </c>
    </row>
    <row r="496" customFormat="false" ht="15" hidden="false" customHeight="false" outlineLevel="0" collapsed="false">
      <c r="A496" s="15" t="s">
        <v>422</v>
      </c>
      <c r="B496" s="15" t="s">
        <v>125</v>
      </c>
      <c r="C496" s="15" t="s">
        <v>1734</v>
      </c>
      <c r="D496" s="15" t="str">
        <f aca="false">IF(ISNUMBER(MATCH(B496,Pages!$B$2:$B$98,0)),"Yes","Check")</f>
        <v>Yes</v>
      </c>
    </row>
    <row r="497" customFormat="false" ht="15" hidden="false" customHeight="false" outlineLevel="0" collapsed="false">
      <c r="A497" s="15" t="s">
        <v>422</v>
      </c>
      <c r="B497" s="15" t="s">
        <v>116</v>
      </c>
      <c r="C497" s="15" t="s">
        <v>1605</v>
      </c>
      <c r="D497" s="15" t="str">
        <f aca="false">IF(ISNUMBER(MATCH(B497,Pages!$B$2:$B$98,0)),"Yes","Check")</f>
        <v>Yes</v>
      </c>
    </row>
    <row r="498" customFormat="false" ht="15" hidden="false" customHeight="false" outlineLevel="0" collapsed="false">
      <c r="A498" s="15" t="s">
        <v>422</v>
      </c>
      <c r="B498" s="15" t="s">
        <v>125</v>
      </c>
      <c r="C498" s="15" t="s">
        <v>1606</v>
      </c>
      <c r="D498" s="15" t="str">
        <f aca="false">IF(ISNUMBER(MATCH(B498,Pages!$B$2:$B$98,0)),"Yes","Check")</f>
        <v>Yes</v>
      </c>
    </row>
    <row r="499" customFormat="false" ht="23.85" hidden="false" customHeight="false" outlineLevel="0" collapsed="false">
      <c r="A499" s="15" t="s">
        <v>422</v>
      </c>
      <c r="B499" s="15" t="s">
        <v>237</v>
      </c>
      <c r="C499" s="15" t="s">
        <v>1661</v>
      </c>
      <c r="D499" s="15" t="str">
        <f aca="false">IF(ISNUMBER(MATCH(B499,Pages!$B$2:$B$98,0)),"Yes","Check")</f>
        <v>Yes</v>
      </c>
    </row>
    <row r="500" customFormat="false" ht="23.85" hidden="false" customHeight="false" outlineLevel="0" collapsed="false">
      <c r="A500" s="15" t="s">
        <v>422</v>
      </c>
      <c r="B500" s="15" t="s">
        <v>349</v>
      </c>
      <c r="C500" s="15" t="s">
        <v>1638</v>
      </c>
      <c r="D500" s="15" t="str">
        <f aca="false">IF(ISNUMBER(MATCH(B500,Pages!$B$2:$B$98,0)),"Yes","Check")</f>
        <v>Yes</v>
      </c>
    </row>
    <row r="501" customFormat="false" ht="23.85" hidden="false" customHeight="false" outlineLevel="0" collapsed="false">
      <c r="A501" s="15" t="s">
        <v>422</v>
      </c>
      <c r="B501" s="15" t="s">
        <v>395</v>
      </c>
      <c r="C501" s="15" t="s">
        <v>1700</v>
      </c>
      <c r="D501" s="15" t="str">
        <f aca="false">IF(ISNUMBER(MATCH(B501,Pages!$B$2:$B$98,0)),"Yes","Check")</f>
        <v>Yes</v>
      </c>
    </row>
    <row r="502" customFormat="false" ht="15" hidden="false" customHeight="false" outlineLevel="0" collapsed="false">
      <c r="A502" s="15" t="s">
        <v>422</v>
      </c>
      <c r="B502" s="15" t="s">
        <v>934</v>
      </c>
      <c r="C502" s="15" t="s">
        <v>1617</v>
      </c>
      <c r="D502" s="15" t="str">
        <f aca="false">IF(ISNUMBER(MATCH(B502,Pages!$B$2:$B$98,0)),"Yes","Check")</f>
        <v>Yes</v>
      </c>
    </row>
    <row r="503" customFormat="false" ht="15" hidden="false" customHeight="false" outlineLevel="0" collapsed="false">
      <c r="A503" s="15" t="s">
        <v>422</v>
      </c>
      <c r="B503" s="15" t="s">
        <v>116</v>
      </c>
      <c r="C503" s="15" t="s">
        <v>1483</v>
      </c>
      <c r="D503" s="15" t="str">
        <f aca="false">IF(ISNUMBER(MATCH(B503,Pages!$B$2:$B$98,0)),"Yes","Check")</f>
        <v>Yes</v>
      </c>
    </row>
    <row r="504" customFormat="false" ht="15" hidden="false" customHeight="false" outlineLevel="0" collapsed="false">
      <c r="A504" s="15" t="s">
        <v>431</v>
      </c>
      <c r="B504" s="15" t="s">
        <v>837</v>
      </c>
      <c r="C504" s="15" t="s">
        <v>1619</v>
      </c>
      <c r="D504" s="15" t="str">
        <f aca="false">IF(ISNUMBER(MATCH(B504,Pages!$B$2:$B$98,0)),"Yes","Check")</f>
        <v>Yes</v>
      </c>
    </row>
    <row r="505" customFormat="false" ht="15" hidden="false" customHeight="false" outlineLevel="0" collapsed="false">
      <c r="A505" s="15" t="s">
        <v>431</v>
      </c>
      <c r="B505" s="15" t="s">
        <v>792</v>
      </c>
      <c r="C505" s="15" t="s">
        <v>1621</v>
      </c>
      <c r="D505" s="15" t="str">
        <f aca="false">IF(ISNUMBER(MATCH(B505,Pages!$B$2:$B$98,0)),"Yes","Check")</f>
        <v>Yes</v>
      </c>
    </row>
    <row r="506" customFormat="false" ht="15" hidden="false" customHeight="false" outlineLevel="0" collapsed="false">
      <c r="A506" s="15" t="s">
        <v>431</v>
      </c>
      <c r="B506" s="15" t="s">
        <v>477</v>
      </c>
      <c r="C506" s="15" t="s">
        <v>1735</v>
      </c>
      <c r="D506" s="15" t="str">
        <f aca="false">IF(ISNUMBER(MATCH(B506,Pages!$B$2:$B$98,0)),"Yes","Check")</f>
        <v>Yes</v>
      </c>
    </row>
    <row r="507" customFormat="false" ht="15" hidden="false" customHeight="false" outlineLevel="0" collapsed="false">
      <c r="A507" s="15" t="s">
        <v>431</v>
      </c>
      <c r="B507" s="15" t="s">
        <v>688</v>
      </c>
      <c r="C507" s="15" t="s">
        <v>1713</v>
      </c>
      <c r="D507" s="15" t="str">
        <f aca="false">IF(ISNUMBER(MATCH(B507,Pages!$B$2:$B$98,0)),"Yes","Check")</f>
        <v>Yes</v>
      </c>
    </row>
    <row r="508" customFormat="false" ht="15" hidden="false" customHeight="false" outlineLevel="0" collapsed="false">
      <c r="A508" s="15" t="s">
        <v>431</v>
      </c>
      <c r="B508" s="15" t="s">
        <v>450</v>
      </c>
      <c r="C508" s="15" t="s">
        <v>1492</v>
      </c>
      <c r="D508" s="15" t="str">
        <f aca="false">IF(ISNUMBER(MATCH(B508,Pages!$B$2:$B$98,0)),"Yes","Check")</f>
        <v>Yes</v>
      </c>
    </row>
    <row r="509" customFormat="false" ht="15" hidden="false" customHeight="false" outlineLevel="0" collapsed="false">
      <c r="A509" s="15" t="s">
        <v>431</v>
      </c>
      <c r="B509" s="15" t="s">
        <v>486</v>
      </c>
      <c r="C509" s="15" t="s">
        <v>1736</v>
      </c>
      <c r="D509" s="15" t="str">
        <f aca="false">IF(ISNUMBER(MATCH(B509,Pages!$B$2:$B$98,0)),"Yes","Check")</f>
        <v>Yes</v>
      </c>
    </row>
    <row r="510" customFormat="false" ht="15" hidden="false" customHeight="false" outlineLevel="0" collapsed="false">
      <c r="A510" s="15" t="s">
        <v>431</v>
      </c>
      <c r="B510" s="15" t="s">
        <v>819</v>
      </c>
      <c r="C510" s="15" t="s">
        <v>1737</v>
      </c>
      <c r="D510" s="15" t="str">
        <f aca="false">IF(ISNUMBER(MATCH(B510,Pages!$B$2:$B$98,0)),"Yes","Check")</f>
        <v>Yes</v>
      </c>
    </row>
    <row r="511" customFormat="false" ht="15" hidden="false" customHeight="false" outlineLevel="0" collapsed="false">
      <c r="A511" s="15" t="s">
        <v>431</v>
      </c>
      <c r="B511" s="15" t="s">
        <v>116</v>
      </c>
      <c r="C511" s="15" t="s">
        <v>1605</v>
      </c>
      <c r="D511" s="15" t="str">
        <f aca="false">IF(ISNUMBER(MATCH(B511,Pages!$B$2:$B$98,0)),"Yes","Check")</f>
        <v>Yes</v>
      </c>
    </row>
    <row r="512" customFormat="false" ht="15" hidden="false" customHeight="false" outlineLevel="0" collapsed="false">
      <c r="A512" s="15" t="s">
        <v>431</v>
      </c>
      <c r="B512" s="15" t="s">
        <v>450</v>
      </c>
      <c r="C512" s="15" t="s">
        <v>1630</v>
      </c>
      <c r="D512" s="15" t="str">
        <f aca="false">IF(ISNUMBER(MATCH(B512,Pages!$B$2:$B$98,0)),"Yes","Check")</f>
        <v>Yes</v>
      </c>
    </row>
    <row r="513" customFormat="false" ht="15" hidden="false" customHeight="false" outlineLevel="0" collapsed="false">
      <c r="A513" s="15" t="s">
        <v>431</v>
      </c>
      <c r="B513" s="15" t="s">
        <v>477</v>
      </c>
      <c r="C513" s="15" t="s">
        <v>1738</v>
      </c>
      <c r="D513" s="15" t="str">
        <f aca="false">IF(ISNUMBER(MATCH(B513,Pages!$B$2:$B$98,0)),"Yes","Check")</f>
        <v>Yes</v>
      </c>
    </row>
    <row r="514" customFormat="false" ht="15" hidden="false" customHeight="false" outlineLevel="0" collapsed="false">
      <c r="A514" s="15" t="s">
        <v>431</v>
      </c>
      <c r="B514" s="15" t="s">
        <v>688</v>
      </c>
      <c r="C514" s="15" t="s">
        <v>1715</v>
      </c>
      <c r="D514" s="15" t="str">
        <f aca="false">IF(ISNUMBER(MATCH(B514,Pages!$B$2:$B$98,0)),"Yes","Check")</f>
        <v>Yes</v>
      </c>
    </row>
    <row r="515" customFormat="false" ht="23.85" hidden="false" customHeight="false" outlineLevel="0" collapsed="false">
      <c r="A515" s="15" t="s">
        <v>431</v>
      </c>
      <c r="B515" s="15" t="s">
        <v>837</v>
      </c>
      <c r="C515" s="15" t="s">
        <v>1696</v>
      </c>
      <c r="D515" s="15" t="str">
        <f aca="false">IF(ISNUMBER(MATCH(B515,Pages!$B$2:$B$98,0)),"Yes","Check")</f>
        <v>Yes</v>
      </c>
    </row>
    <row r="516" customFormat="false" ht="15" hidden="false" customHeight="false" outlineLevel="0" collapsed="false">
      <c r="A516" s="15" t="s">
        <v>431</v>
      </c>
      <c r="B516" s="15" t="s">
        <v>748</v>
      </c>
      <c r="C516" s="15" t="s">
        <v>1616</v>
      </c>
      <c r="D516" s="15" t="str">
        <f aca="false">IF(ISNUMBER(MATCH(B516,Pages!$B$2:$B$98,0)),"Yes","Check")</f>
        <v>Yes</v>
      </c>
    </row>
    <row r="517" customFormat="false" ht="15" hidden="false" customHeight="false" outlineLevel="0" collapsed="false">
      <c r="A517" s="15" t="s">
        <v>431</v>
      </c>
      <c r="B517" s="15" t="s">
        <v>792</v>
      </c>
      <c r="C517" s="15" t="s">
        <v>1626</v>
      </c>
      <c r="D517" s="15" t="str">
        <f aca="false">IF(ISNUMBER(MATCH(B517,Pages!$B$2:$B$98,0)),"Yes","Check")</f>
        <v>Yes</v>
      </c>
    </row>
    <row r="518" customFormat="false" ht="15" hidden="false" customHeight="false" outlineLevel="0" collapsed="false">
      <c r="A518" s="15" t="s">
        <v>431</v>
      </c>
      <c r="B518" s="15" t="s">
        <v>926</v>
      </c>
      <c r="C518" s="15" t="s">
        <v>1657</v>
      </c>
      <c r="D518" s="15" t="str">
        <f aca="false">IF(ISNUMBER(MATCH(B518,Pages!$B$2:$B$98,0)),"Yes","Check")</f>
        <v>Yes</v>
      </c>
    </row>
    <row r="519" customFormat="false" ht="15" hidden="false" customHeight="false" outlineLevel="0" collapsed="false">
      <c r="A519" s="15" t="s">
        <v>431</v>
      </c>
      <c r="B519" s="15" t="s">
        <v>116</v>
      </c>
      <c r="C519" s="15" t="s">
        <v>1483</v>
      </c>
      <c r="D519" s="15" t="str">
        <f aca="false">IF(ISNUMBER(MATCH(B519,Pages!$B$2:$B$98,0)),"Yes","Check")</f>
        <v>Yes</v>
      </c>
    </row>
    <row r="520" customFormat="false" ht="15" hidden="false" customHeight="false" outlineLevel="0" collapsed="false">
      <c r="A520" s="15" t="s">
        <v>441</v>
      </c>
      <c r="B520" s="15" t="s">
        <v>459</v>
      </c>
      <c r="C520" s="15" t="s">
        <v>1739</v>
      </c>
      <c r="D520" s="15" t="str">
        <f aca="false">IF(ISNUMBER(MATCH(B520,Pages!$B$2:$B$98,0)),"Yes","Check")</f>
        <v>Yes</v>
      </c>
    </row>
    <row r="521" customFormat="false" ht="15" hidden="false" customHeight="false" outlineLevel="0" collapsed="false">
      <c r="A521" s="15" t="s">
        <v>441</v>
      </c>
      <c r="B521" s="15" t="s">
        <v>450</v>
      </c>
      <c r="C521" s="15" t="s">
        <v>1482</v>
      </c>
      <c r="D521" s="15" t="str">
        <f aca="false">IF(ISNUMBER(MATCH(B521,Pages!$B$2:$B$98,0)),"Yes","Check")</f>
        <v>Yes</v>
      </c>
    </row>
    <row r="522" customFormat="false" ht="15" hidden="false" customHeight="false" outlineLevel="0" collapsed="false">
      <c r="A522" s="15" t="s">
        <v>441</v>
      </c>
      <c r="B522" s="15" t="s">
        <v>855</v>
      </c>
      <c r="C522" s="15" t="s">
        <v>1740</v>
      </c>
      <c r="D522" s="15" t="str">
        <f aca="false">IF(ISNUMBER(MATCH(B522,Pages!$B$2:$B$98,0)),"Yes","Check")</f>
        <v>Yes</v>
      </c>
    </row>
    <row r="523" customFormat="false" ht="15" hidden="false" customHeight="false" outlineLevel="0" collapsed="false">
      <c r="A523" s="15" t="s">
        <v>441</v>
      </c>
      <c r="B523" s="15" t="s">
        <v>359</v>
      </c>
      <c r="C523" s="15" t="s">
        <v>1741</v>
      </c>
      <c r="D523" s="15" t="str">
        <f aca="false">IF(ISNUMBER(MATCH(B523,Pages!$B$2:$B$98,0)),"Yes","Check")</f>
        <v>Yes</v>
      </c>
    </row>
    <row r="524" customFormat="false" ht="15" hidden="false" customHeight="false" outlineLevel="0" collapsed="false">
      <c r="A524" s="15" t="s">
        <v>441</v>
      </c>
      <c r="B524" s="15" t="s">
        <v>646</v>
      </c>
      <c r="C524" s="15" t="s">
        <v>1742</v>
      </c>
      <c r="D524" s="15" t="str">
        <f aca="false">IF(ISNUMBER(MATCH(B524,Pages!$B$2:$B$98,0)),"Yes","Check")</f>
        <v>Yes</v>
      </c>
    </row>
    <row r="525" customFormat="false" ht="15" hidden="false" customHeight="false" outlineLevel="0" collapsed="false">
      <c r="A525" s="15" t="s">
        <v>441</v>
      </c>
      <c r="B525" s="15" t="s">
        <v>748</v>
      </c>
      <c r="C525" s="15" t="s">
        <v>1743</v>
      </c>
      <c r="D525" s="15" t="str">
        <f aca="false">IF(ISNUMBER(MATCH(B525,Pages!$B$2:$B$98,0)),"Yes","Check")</f>
        <v>Yes</v>
      </c>
    </row>
    <row r="526" customFormat="false" ht="15" hidden="false" customHeight="false" outlineLevel="0" collapsed="false">
      <c r="A526" s="15" t="s">
        <v>441</v>
      </c>
      <c r="B526" s="15" t="s">
        <v>116</v>
      </c>
      <c r="C526" s="15" t="s">
        <v>1605</v>
      </c>
      <c r="D526" s="15" t="str">
        <f aca="false">IF(ISNUMBER(MATCH(B526,Pages!$B$2:$B$98,0)),"Yes","Check")</f>
        <v>Yes</v>
      </c>
    </row>
    <row r="527" customFormat="false" ht="15" hidden="false" customHeight="false" outlineLevel="0" collapsed="false">
      <c r="A527" s="15" t="s">
        <v>441</v>
      </c>
      <c r="B527" s="15" t="s">
        <v>359</v>
      </c>
      <c r="C527" s="15" t="s">
        <v>1744</v>
      </c>
      <c r="D527" s="15" t="str">
        <f aca="false">IF(ISNUMBER(MATCH(B527,Pages!$B$2:$B$98,0)),"Yes","Check")</f>
        <v>Yes</v>
      </c>
    </row>
    <row r="528" customFormat="false" ht="23.85" hidden="false" customHeight="false" outlineLevel="0" collapsed="false">
      <c r="A528" s="15" t="s">
        <v>441</v>
      </c>
      <c r="B528" s="15" t="s">
        <v>646</v>
      </c>
      <c r="C528" s="15" t="s">
        <v>1614</v>
      </c>
      <c r="D528" s="15" t="str">
        <f aca="false">IF(ISNUMBER(MATCH(B528,Pages!$B$2:$B$98,0)),"Yes","Check")</f>
        <v>Yes</v>
      </c>
    </row>
    <row r="529" customFormat="false" ht="15" hidden="false" customHeight="false" outlineLevel="0" collapsed="false">
      <c r="A529" s="15" t="s">
        <v>441</v>
      </c>
      <c r="B529" s="15" t="s">
        <v>748</v>
      </c>
      <c r="C529" s="15" t="s">
        <v>1616</v>
      </c>
      <c r="D529" s="15" t="str">
        <f aca="false">IF(ISNUMBER(MATCH(B529,Pages!$B$2:$B$98,0)),"Yes","Check")</f>
        <v>Yes</v>
      </c>
    </row>
    <row r="530" customFormat="false" ht="23.85" hidden="false" customHeight="false" outlineLevel="0" collapsed="false">
      <c r="A530" s="15" t="s">
        <v>441</v>
      </c>
      <c r="B530" s="15" t="s">
        <v>855</v>
      </c>
      <c r="C530" s="15" t="s">
        <v>1647</v>
      </c>
      <c r="D530" s="15" t="str">
        <f aca="false">IF(ISNUMBER(MATCH(B530,Pages!$B$2:$B$98,0)),"Yes","Check")</f>
        <v>Yes</v>
      </c>
    </row>
    <row r="531" customFormat="false" ht="15" hidden="false" customHeight="false" outlineLevel="0" collapsed="false">
      <c r="A531" s="15" t="s">
        <v>441</v>
      </c>
      <c r="B531" s="15" t="s">
        <v>116</v>
      </c>
      <c r="C531" s="15" t="s">
        <v>1483</v>
      </c>
      <c r="D531" s="15" t="str">
        <f aca="false">IF(ISNUMBER(MATCH(B531,Pages!$B$2:$B$98,0)),"Yes","Check")</f>
        <v>Yes</v>
      </c>
    </row>
    <row r="532" customFormat="false" ht="15" hidden="false" customHeight="false" outlineLevel="0" collapsed="false">
      <c r="A532" s="15" t="s">
        <v>450</v>
      </c>
      <c r="B532" s="15" t="s">
        <v>662</v>
      </c>
      <c r="C532" s="15" t="s">
        <v>1714</v>
      </c>
      <c r="D532" s="15" t="str">
        <f aca="false">IF(ISNUMBER(MATCH(B532,Pages!$B$2:$B$98,0)),"Yes","Check")</f>
        <v>Yes</v>
      </c>
    </row>
    <row r="533" customFormat="false" ht="15" hidden="false" customHeight="false" outlineLevel="0" collapsed="false">
      <c r="A533" s="15" t="s">
        <v>450</v>
      </c>
      <c r="B533" s="15" t="s">
        <v>783</v>
      </c>
      <c r="C533" s="15" t="s">
        <v>1708</v>
      </c>
      <c r="D533" s="15" t="str">
        <f aca="false">IF(ISNUMBER(MATCH(B533,Pages!$B$2:$B$98,0)),"Yes","Check")</f>
        <v>Yes</v>
      </c>
    </row>
    <row r="534" customFormat="false" ht="15" hidden="false" customHeight="false" outlineLevel="0" collapsed="false">
      <c r="A534" s="15" t="s">
        <v>450</v>
      </c>
      <c r="B534" s="15" t="s">
        <v>881</v>
      </c>
      <c r="C534" s="15" t="s">
        <v>1503</v>
      </c>
      <c r="D534" s="15" t="str">
        <f aca="false">IF(ISNUMBER(MATCH(B534,Pages!$B$2:$B$98,0)),"Yes","Check")</f>
        <v>Yes</v>
      </c>
    </row>
    <row r="535" customFormat="false" ht="15" hidden="false" customHeight="false" outlineLevel="0" collapsed="false">
      <c r="A535" s="15" t="s">
        <v>450</v>
      </c>
      <c r="B535" s="15" t="s">
        <v>431</v>
      </c>
      <c r="C535" s="15" t="s">
        <v>1731</v>
      </c>
      <c r="D535" s="15" t="str">
        <f aca="false">IF(ISNUMBER(MATCH(B535,Pages!$B$2:$B$98,0)),"Yes","Check")</f>
        <v>Yes</v>
      </c>
    </row>
    <row r="536" customFormat="false" ht="15" hidden="false" customHeight="false" outlineLevel="0" collapsed="false">
      <c r="A536" s="15" t="s">
        <v>450</v>
      </c>
      <c r="B536" s="15" t="s">
        <v>748</v>
      </c>
      <c r="C536" s="15" t="s">
        <v>1654</v>
      </c>
      <c r="D536" s="15" t="str">
        <f aca="false">IF(ISNUMBER(MATCH(B536,Pages!$B$2:$B$98,0)),"Yes","Check")</f>
        <v>Yes</v>
      </c>
    </row>
    <row r="537" customFormat="false" ht="15" hidden="false" customHeight="false" outlineLevel="0" collapsed="false">
      <c r="A537" s="15" t="s">
        <v>450</v>
      </c>
      <c r="B537" s="15" t="s">
        <v>183</v>
      </c>
      <c r="C537" s="15" t="s">
        <v>1745</v>
      </c>
      <c r="D537" s="15" t="str">
        <f aca="false">IF(ISNUMBER(MATCH(B537,Pages!$B$2:$B$98,0)),"Yes","Check")</f>
        <v>Yes</v>
      </c>
    </row>
    <row r="538" customFormat="false" ht="15" hidden="false" customHeight="false" outlineLevel="0" collapsed="false">
      <c r="A538" s="15" t="s">
        <v>450</v>
      </c>
      <c r="B538" s="15" t="s">
        <v>116</v>
      </c>
      <c r="C538" s="15" t="s">
        <v>1605</v>
      </c>
      <c r="D538" s="15" t="str">
        <f aca="false">IF(ISNUMBER(MATCH(B538,Pages!$B$2:$B$98,0)),"Yes","Check")</f>
        <v>Yes</v>
      </c>
    </row>
    <row r="539" customFormat="false" ht="15" hidden="false" customHeight="false" outlineLevel="0" collapsed="false">
      <c r="A539" s="15" t="s">
        <v>450</v>
      </c>
      <c r="B539" s="15" t="s">
        <v>431</v>
      </c>
      <c r="C539" s="15" t="s">
        <v>1732</v>
      </c>
      <c r="D539" s="15" t="str">
        <f aca="false">IF(ISNUMBER(MATCH(B539,Pages!$B$2:$B$98,0)),"Yes","Check")</f>
        <v>Yes</v>
      </c>
    </row>
    <row r="540" customFormat="false" ht="23.85" hidden="false" customHeight="false" outlineLevel="0" collapsed="false">
      <c r="A540" s="15" t="s">
        <v>450</v>
      </c>
      <c r="B540" s="15" t="s">
        <v>662</v>
      </c>
      <c r="C540" s="15" t="s">
        <v>1615</v>
      </c>
      <c r="D540" s="15" t="str">
        <f aca="false">IF(ISNUMBER(MATCH(B540,Pages!$B$2:$B$98,0)),"Yes","Check")</f>
        <v>Yes</v>
      </c>
    </row>
    <row r="541" customFormat="false" ht="15" hidden="false" customHeight="false" outlineLevel="0" collapsed="false">
      <c r="A541" s="15" t="s">
        <v>450</v>
      </c>
      <c r="B541" s="15" t="s">
        <v>748</v>
      </c>
      <c r="C541" s="15" t="s">
        <v>1616</v>
      </c>
      <c r="D541" s="15" t="str">
        <f aca="false">IF(ISNUMBER(MATCH(B541,Pages!$B$2:$B$98,0)),"Yes","Check")</f>
        <v>Yes</v>
      </c>
    </row>
    <row r="542" customFormat="false" ht="15" hidden="false" customHeight="false" outlineLevel="0" collapsed="false">
      <c r="A542" s="15" t="s">
        <v>450</v>
      </c>
      <c r="B542" s="15" t="s">
        <v>783</v>
      </c>
      <c r="C542" s="15" t="s">
        <v>1646</v>
      </c>
      <c r="D542" s="15" t="str">
        <f aca="false">IF(ISNUMBER(MATCH(B542,Pages!$B$2:$B$98,0)),"Yes","Check")</f>
        <v>Yes</v>
      </c>
    </row>
    <row r="543" customFormat="false" ht="15" hidden="false" customHeight="false" outlineLevel="0" collapsed="false">
      <c r="A543" s="15" t="s">
        <v>450</v>
      </c>
      <c r="B543" s="15" t="s">
        <v>116</v>
      </c>
      <c r="C543" s="15" t="s">
        <v>1483</v>
      </c>
      <c r="D543" s="15" t="str">
        <f aca="false">IF(ISNUMBER(MATCH(B543,Pages!$B$2:$B$98,0)),"Yes","Check")</f>
        <v>Yes</v>
      </c>
    </row>
    <row r="544" customFormat="false" ht="15" hidden="false" customHeight="false" outlineLevel="0" collapsed="false">
      <c r="A544" s="15" t="s">
        <v>459</v>
      </c>
      <c r="B544" s="15" t="s">
        <v>183</v>
      </c>
      <c r="C544" s="15" t="s">
        <v>1487</v>
      </c>
      <c r="D544" s="15" t="str">
        <f aca="false">IF(ISNUMBER(MATCH(B544,Pages!$B$2:$B$98,0)),"Yes","Check")</f>
        <v>Yes</v>
      </c>
    </row>
    <row r="545" customFormat="false" ht="15" hidden="false" customHeight="false" outlineLevel="0" collapsed="false">
      <c r="A545" s="15" t="s">
        <v>459</v>
      </c>
      <c r="B545" s="15" t="s">
        <v>349</v>
      </c>
      <c r="C545" s="15" t="s">
        <v>1635</v>
      </c>
      <c r="D545" s="15" t="str">
        <f aca="false">IF(ISNUMBER(MATCH(B545,Pages!$B$2:$B$98,0)),"Yes","Check")</f>
        <v>Yes</v>
      </c>
    </row>
    <row r="546" customFormat="false" ht="15" hidden="false" customHeight="false" outlineLevel="0" collapsed="false">
      <c r="A546" s="15" t="s">
        <v>459</v>
      </c>
      <c r="B546" s="15" t="s">
        <v>217</v>
      </c>
      <c r="C546" s="15" t="s">
        <v>1669</v>
      </c>
      <c r="D546" s="15" t="str">
        <f aca="false">IF(ISNUMBER(MATCH(B546,Pages!$B$2:$B$98,0)),"Yes","Check")</f>
        <v>Yes</v>
      </c>
    </row>
    <row r="547" customFormat="false" ht="15" hidden="false" customHeight="false" outlineLevel="0" collapsed="false">
      <c r="A547" s="15" t="s">
        <v>459</v>
      </c>
      <c r="B547" s="15" t="s">
        <v>237</v>
      </c>
      <c r="C547" s="15" t="s">
        <v>1746</v>
      </c>
      <c r="D547" s="15" t="str">
        <f aca="false">IF(ISNUMBER(MATCH(B547,Pages!$B$2:$B$98,0)),"Yes","Check")</f>
        <v>Yes</v>
      </c>
    </row>
    <row r="548" customFormat="false" ht="15" hidden="false" customHeight="false" outlineLevel="0" collapsed="false">
      <c r="A548" s="15" t="s">
        <v>459</v>
      </c>
      <c r="B548" s="15" t="s">
        <v>828</v>
      </c>
      <c r="C548" s="15" t="s">
        <v>1664</v>
      </c>
      <c r="D548" s="15" t="str">
        <f aca="false">IF(ISNUMBER(MATCH(B548,Pages!$B$2:$B$98,0)),"Yes","Check")</f>
        <v>Yes</v>
      </c>
    </row>
    <row r="549" customFormat="false" ht="15" hidden="false" customHeight="false" outlineLevel="0" collapsed="false">
      <c r="A549" s="15" t="s">
        <v>459</v>
      </c>
      <c r="B549" s="15" t="s">
        <v>748</v>
      </c>
      <c r="C549" s="15" t="s">
        <v>752</v>
      </c>
      <c r="D549" s="15" t="str">
        <f aca="false">IF(ISNUMBER(MATCH(B549,Pages!$B$2:$B$98,0)),"Yes","Check")</f>
        <v>Yes</v>
      </c>
    </row>
    <row r="550" customFormat="false" ht="15" hidden="false" customHeight="false" outlineLevel="0" collapsed="false">
      <c r="A550" s="15" t="s">
        <v>459</v>
      </c>
      <c r="B550" s="15" t="s">
        <v>837</v>
      </c>
      <c r="C550" s="15" t="s">
        <v>1619</v>
      </c>
      <c r="D550" s="15" t="str">
        <f aca="false">IF(ISNUMBER(MATCH(B550,Pages!$B$2:$B$98,0)),"Yes","Check")</f>
        <v>Yes</v>
      </c>
    </row>
    <row r="551" customFormat="false" ht="15" hidden="false" customHeight="false" outlineLevel="0" collapsed="false">
      <c r="A551" s="15" t="s">
        <v>459</v>
      </c>
      <c r="B551" s="15" t="s">
        <v>908</v>
      </c>
      <c r="C551" s="15" t="s">
        <v>1747</v>
      </c>
      <c r="D551" s="15" t="str">
        <f aca="false">IF(ISNUMBER(MATCH(B551,Pages!$B$2:$B$98,0)),"Yes","Check")</f>
        <v>Yes</v>
      </c>
    </row>
    <row r="552" customFormat="false" ht="15" hidden="false" customHeight="false" outlineLevel="0" collapsed="false">
      <c r="A552" s="15" t="s">
        <v>459</v>
      </c>
      <c r="B552" s="15" t="s">
        <v>116</v>
      </c>
      <c r="C552" s="15" t="s">
        <v>1605</v>
      </c>
      <c r="D552" s="15" t="str">
        <f aca="false">IF(ISNUMBER(MATCH(B552,Pages!$B$2:$B$98,0)),"Yes","Check")</f>
        <v>Yes</v>
      </c>
    </row>
    <row r="553" customFormat="false" ht="15" hidden="false" customHeight="false" outlineLevel="0" collapsed="false">
      <c r="A553" s="15" t="s">
        <v>459</v>
      </c>
      <c r="B553" s="15" t="s">
        <v>217</v>
      </c>
      <c r="C553" s="15" t="s">
        <v>1724</v>
      </c>
      <c r="D553" s="15" t="str">
        <f aca="false">IF(ISNUMBER(MATCH(B553,Pages!$B$2:$B$98,0)),"Yes","Check")</f>
        <v>Yes</v>
      </c>
    </row>
    <row r="554" customFormat="false" ht="23.85" hidden="false" customHeight="false" outlineLevel="0" collapsed="false">
      <c r="A554" s="15" t="s">
        <v>459</v>
      </c>
      <c r="B554" s="15" t="s">
        <v>349</v>
      </c>
      <c r="C554" s="15" t="s">
        <v>1638</v>
      </c>
      <c r="D554" s="15" t="str">
        <f aca="false">IF(ISNUMBER(MATCH(B554,Pages!$B$2:$B$98,0)),"Yes","Check")</f>
        <v>Yes</v>
      </c>
    </row>
    <row r="555" customFormat="false" ht="15" hidden="false" customHeight="false" outlineLevel="0" collapsed="false">
      <c r="A555" s="15" t="s">
        <v>459</v>
      </c>
      <c r="B555" s="15" t="s">
        <v>748</v>
      </c>
      <c r="C555" s="15" t="s">
        <v>1616</v>
      </c>
      <c r="D555" s="15" t="str">
        <f aca="false">IF(ISNUMBER(MATCH(B555,Pages!$B$2:$B$98,0)),"Yes","Check")</f>
        <v>Yes</v>
      </c>
    </row>
    <row r="556" customFormat="false" ht="23.85" hidden="false" customHeight="false" outlineLevel="0" collapsed="false">
      <c r="A556" s="15" t="s">
        <v>459</v>
      </c>
      <c r="B556" s="15" t="s">
        <v>837</v>
      </c>
      <c r="C556" s="15" t="s">
        <v>1696</v>
      </c>
      <c r="D556" s="15" t="str">
        <f aca="false">IF(ISNUMBER(MATCH(B556,Pages!$B$2:$B$98,0)),"Yes","Check")</f>
        <v>Yes</v>
      </c>
    </row>
    <row r="557" customFormat="false" ht="15" hidden="false" customHeight="false" outlineLevel="0" collapsed="false">
      <c r="A557" s="15" t="s">
        <v>459</v>
      </c>
      <c r="B557" s="15" t="s">
        <v>792</v>
      </c>
      <c r="C557" s="15" t="s">
        <v>1626</v>
      </c>
      <c r="D557" s="15" t="str">
        <f aca="false">IF(ISNUMBER(MATCH(B557,Pages!$B$2:$B$98,0)),"Yes","Check")</f>
        <v>Yes</v>
      </c>
    </row>
    <row r="558" customFormat="false" ht="15" hidden="false" customHeight="false" outlineLevel="0" collapsed="false">
      <c r="A558" s="15" t="s">
        <v>459</v>
      </c>
      <c r="B558" s="15" t="s">
        <v>116</v>
      </c>
      <c r="C558" s="15" t="s">
        <v>1483</v>
      </c>
      <c r="D558" s="15" t="str">
        <f aca="false">IF(ISNUMBER(MATCH(B558,Pages!$B$2:$B$98,0)),"Yes","Check")</f>
        <v>Yes</v>
      </c>
    </row>
    <row r="559" customFormat="false" ht="15" hidden="false" customHeight="false" outlineLevel="0" collapsed="false">
      <c r="A559" s="15" t="s">
        <v>468</v>
      </c>
      <c r="B559" s="15" t="s">
        <v>195</v>
      </c>
      <c r="C559" s="15" t="s">
        <v>1748</v>
      </c>
      <c r="D559" s="15" t="str">
        <f aca="false">IF(ISNUMBER(MATCH(B559,Pages!$B$2:$B$98,0)),"Yes","Check")</f>
        <v>Yes</v>
      </c>
    </row>
    <row r="560" customFormat="false" ht="15" hidden="false" customHeight="false" outlineLevel="0" collapsed="false">
      <c r="A560" s="15" t="s">
        <v>468</v>
      </c>
      <c r="B560" s="15" t="s">
        <v>331</v>
      </c>
      <c r="C560" s="15" t="s">
        <v>1600</v>
      </c>
      <c r="D560" s="15" t="str">
        <f aca="false">IF(ISNUMBER(MATCH(B560,Pages!$B$2:$B$98,0)),"Yes","Check")</f>
        <v>Yes</v>
      </c>
    </row>
    <row r="561" customFormat="false" ht="15" hidden="false" customHeight="false" outlineLevel="0" collapsed="false">
      <c r="A561" s="15" t="s">
        <v>468</v>
      </c>
      <c r="B561" s="15" t="s">
        <v>450</v>
      </c>
      <c r="C561" s="15" t="s">
        <v>1492</v>
      </c>
      <c r="D561" s="15" t="str">
        <f aca="false">IF(ISNUMBER(MATCH(B561,Pages!$B$2:$B$98,0)),"Yes","Check")</f>
        <v>Yes</v>
      </c>
    </row>
    <row r="562" customFormat="false" ht="15" hidden="false" customHeight="false" outlineLevel="0" collapsed="false">
      <c r="A562" s="15" t="s">
        <v>468</v>
      </c>
      <c r="B562" s="15" t="s">
        <v>881</v>
      </c>
      <c r="C562" s="15" t="s">
        <v>1503</v>
      </c>
      <c r="D562" s="15" t="str">
        <f aca="false">IF(ISNUMBER(MATCH(B562,Pages!$B$2:$B$98,0)),"Yes","Check")</f>
        <v>Yes</v>
      </c>
    </row>
    <row r="563" customFormat="false" ht="15" hidden="false" customHeight="false" outlineLevel="0" collapsed="false">
      <c r="A563" s="15" t="s">
        <v>468</v>
      </c>
      <c r="B563" s="15" t="s">
        <v>125</v>
      </c>
      <c r="C563" s="15" t="s">
        <v>1749</v>
      </c>
      <c r="D563" s="15" t="str">
        <f aca="false">IF(ISNUMBER(MATCH(B563,Pages!$B$2:$B$98,0)),"Yes","Check")</f>
        <v>Yes</v>
      </c>
    </row>
    <row r="564" customFormat="false" ht="15" hidden="false" customHeight="false" outlineLevel="0" collapsed="false">
      <c r="A564" s="15" t="s">
        <v>468</v>
      </c>
      <c r="B564" s="15" t="s">
        <v>576</v>
      </c>
      <c r="C564" s="15" t="s">
        <v>1750</v>
      </c>
      <c r="D564" s="15" t="str">
        <f aca="false">IF(ISNUMBER(MATCH(B564,Pages!$B$2:$B$98,0)),"Yes","Check")</f>
        <v>Yes</v>
      </c>
    </row>
    <row r="565" customFormat="false" ht="15" hidden="false" customHeight="false" outlineLevel="0" collapsed="false">
      <c r="A565" s="15" t="s">
        <v>468</v>
      </c>
      <c r="B565" s="15" t="s">
        <v>183</v>
      </c>
      <c r="C565" s="15" t="s">
        <v>1506</v>
      </c>
      <c r="D565" s="15" t="str">
        <f aca="false">IF(ISNUMBER(MATCH(B565,Pages!$B$2:$B$98,0)),"Yes","Check")</f>
        <v>Yes</v>
      </c>
    </row>
    <row r="566" customFormat="false" ht="15" hidden="false" customHeight="false" outlineLevel="0" collapsed="false">
      <c r="A566" s="15" t="s">
        <v>468</v>
      </c>
      <c r="B566" s="15" t="s">
        <v>116</v>
      </c>
      <c r="C566" s="15" t="s">
        <v>1605</v>
      </c>
      <c r="D566" s="15" t="str">
        <f aca="false">IF(ISNUMBER(MATCH(B566,Pages!$B$2:$B$98,0)),"Yes","Check")</f>
        <v>Yes</v>
      </c>
    </row>
    <row r="567" customFormat="false" ht="15" hidden="false" customHeight="false" outlineLevel="0" collapsed="false">
      <c r="A567" s="15" t="s">
        <v>468</v>
      </c>
      <c r="B567" s="15" t="s">
        <v>125</v>
      </c>
      <c r="C567" s="15" t="s">
        <v>1606</v>
      </c>
      <c r="D567" s="15" t="str">
        <f aca="false">IF(ISNUMBER(MATCH(B567,Pages!$B$2:$B$98,0)),"Yes","Check")</f>
        <v>Yes</v>
      </c>
    </row>
    <row r="568" customFormat="false" ht="15" hidden="false" customHeight="false" outlineLevel="0" collapsed="false">
      <c r="A568" s="15" t="s">
        <v>468</v>
      </c>
      <c r="B568" s="15" t="s">
        <v>195</v>
      </c>
      <c r="C568" s="15" t="s">
        <v>1676</v>
      </c>
      <c r="D568" s="15" t="str">
        <f aca="false">IF(ISNUMBER(MATCH(B568,Pages!$B$2:$B$98,0)),"Yes","Check")</f>
        <v>Yes</v>
      </c>
    </row>
    <row r="569" customFormat="false" ht="15" hidden="false" customHeight="false" outlineLevel="0" collapsed="false">
      <c r="A569" s="15" t="s">
        <v>468</v>
      </c>
      <c r="B569" s="15" t="s">
        <v>576</v>
      </c>
      <c r="C569" s="15" t="s">
        <v>1751</v>
      </c>
      <c r="D569" s="15" t="str">
        <f aca="false">IF(ISNUMBER(MATCH(B569,Pages!$B$2:$B$98,0)),"Yes","Check")</f>
        <v>Yes</v>
      </c>
    </row>
    <row r="570" customFormat="false" ht="15" hidden="false" customHeight="false" outlineLevel="0" collapsed="false">
      <c r="A570" s="15" t="s">
        <v>468</v>
      </c>
      <c r="B570" s="15" t="s">
        <v>116</v>
      </c>
      <c r="C570" s="15" t="s">
        <v>1483</v>
      </c>
      <c r="D570" s="15" t="str">
        <f aca="false">IF(ISNUMBER(MATCH(B570,Pages!$B$2:$B$98,0)),"Yes","Check")</f>
        <v>Yes</v>
      </c>
    </row>
    <row r="571" customFormat="false" ht="15" hidden="false" customHeight="false" outlineLevel="0" collapsed="false">
      <c r="A571" s="15" t="s">
        <v>477</v>
      </c>
      <c r="B571" s="15" t="s">
        <v>926</v>
      </c>
      <c r="C571" s="15" t="s">
        <v>1071</v>
      </c>
      <c r="D571" s="15" t="str">
        <f aca="false">IF(ISNUMBER(MATCH(B571,Pages!$B$2:$B$98,0)),"Yes","Check")</f>
        <v>Yes</v>
      </c>
    </row>
    <row r="572" customFormat="false" ht="15" hidden="false" customHeight="false" outlineLevel="0" collapsed="false">
      <c r="A572" s="15" t="s">
        <v>477</v>
      </c>
      <c r="B572" s="15" t="s">
        <v>819</v>
      </c>
      <c r="C572" s="15" t="s">
        <v>1737</v>
      </c>
      <c r="D572" s="15" t="str">
        <f aca="false">IF(ISNUMBER(MATCH(B572,Pages!$B$2:$B$98,0)),"Yes","Check")</f>
        <v>Yes</v>
      </c>
    </row>
    <row r="573" customFormat="false" ht="15" hidden="false" customHeight="false" outlineLevel="0" collapsed="false">
      <c r="A573" s="15" t="s">
        <v>477</v>
      </c>
      <c r="B573" s="15" t="s">
        <v>183</v>
      </c>
      <c r="C573" s="15" t="s">
        <v>1752</v>
      </c>
      <c r="D573" s="15" t="str">
        <f aca="false">IF(ISNUMBER(MATCH(B573,Pages!$B$2:$B$98,0)),"Yes","Check")</f>
        <v>Yes</v>
      </c>
    </row>
    <row r="574" customFormat="false" ht="15" hidden="false" customHeight="false" outlineLevel="0" collapsed="false">
      <c r="A574" s="15" t="s">
        <v>477</v>
      </c>
      <c r="B574" s="15" t="s">
        <v>486</v>
      </c>
      <c r="C574" s="15" t="s">
        <v>1736</v>
      </c>
      <c r="D574" s="15" t="str">
        <f aca="false">IF(ISNUMBER(MATCH(B574,Pages!$B$2:$B$98,0)),"Yes","Check")</f>
        <v>Yes</v>
      </c>
    </row>
    <row r="575" customFormat="false" ht="15" hidden="false" customHeight="false" outlineLevel="0" collapsed="false">
      <c r="A575" s="15" t="s">
        <v>477</v>
      </c>
      <c r="B575" s="15" t="s">
        <v>775</v>
      </c>
      <c r="C575" s="15" t="s">
        <v>1673</v>
      </c>
      <c r="D575" s="15" t="str">
        <f aca="false">IF(ISNUMBER(MATCH(B575,Pages!$B$2:$B$98,0)),"Yes","Check")</f>
        <v>Yes</v>
      </c>
    </row>
    <row r="576" customFormat="false" ht="15" hidden="false" customHeight="false" outlineLevel="0" collapsed="false">
      <c r="A576" s="15" t="s">
        <v>477</v>
      </c>
      <c r="B576" s="15" t="s">
        <v>837</v>
      </c>
      <c r="C576" s="15" t="s">
        <v>1694</v>
      </c>
      <c r="D576" s="15" t="str">
        <f aca="false">IF(ISNUMBER(MATCH(B576,Pages!$B$2:$B$98,0)),"Yes","Check")</f>
        <v>Yes</v>
      </c>
    </row>
    <row r="577" customFormat="false" ht="15" hidden="false" customHeight="false" outlineLevel="0" collapsed="false">
      <c r="A577" s="15" t="s">
        <v>477</v>
      </c>
      <c r="B577" s="15" t="s">
        <v>116</v>
      </c>
      <c r="C577" s="15" t="s">
        <v>1605</v>
      </c>
      <c r="D577" s="15" t="str">
        <f aca="false">IF(ISNUMBER(MATCH(B577,Pages!$B$2:$B$98,0)),"Yes","Check")</f>
        <v>Yes</v>
      </c>
    </row>
    <row r="578" customFormat="false" ht="15" hidden="false" customHeight="false" outlineLevel="0" collapsed="false">
      <c r="A578" s="15" t="s">
        <v>477</v>
      </c>
      <c r="B578" s="15" t="s">
        <v>775</v>
      </c>
      <c r="C578" s="15" t="s">
        <v>1677</v>
      </c>
      <c r="D578" s="15" t="str">
        <f aca="false">IF(ISNUMBER(MATCH(B578,Pages!$B$2:$B$98,0)),"Yes","Check")</f>
        <v>Yes</v>
      </c>
    </row>
    <row r="579" customFormat="false" ht="23.85" hidden="false" customHeight="false" outlineLevel="0" collapsed="false">
      <c r="A579" s="15" t="s">
        <v>477</v>
      </c>
      <c r="B579" s="15" t="s">
        <v>819</v>
      </c>
      <c r="C579" s="15" t="s">
        <v>1753</v>
      </c>
      <c r="D579" s="15" t="str">
        <f aca="false">IF(ISNUMBER(MATCH(B579,Pages!$B$2:$B$98,0)),"Yes","Check")</f>
        <v>Yes</v>
      </c>
    </row>
    <row r="580" customFormat="false" ht="23.85" hidden="false" customHeight="false" outlineLevel="0" collapsed="false">
      <c r="A580" s="15" t="s">
        <v>477</v>
      </c>
      <c r="B580" s="15" t="s">
        <v>837</v>
      </c>
      <c r="C580" s="15" t="s">
        <v>1696</v>
      </c>
      <c r="D580" s="15" t="str">
        <f aca="false">IF(ISNUMBER(MATCH(B580,Pages!$B$2:$B$98,0)),"Yes","Check")</f>
        <v>Yes</v>
      </c>
    </row>
    <row r="581" customFormat="false" ht="15" hidden="false" customHeight="false" outlineLevel="0" collapsed="false">
      <c r="A581" s="15" t="s">
        <v>477</v>
      </c>
      <c r="B581" s="15" t="s">
        <v>926</v>
      </c>
      <c r="C581" s="15" t="s">
        <v>1657</v>
      </c>
      <c r="D581" s="15" t="str">
        <f aca="false">IF(ISNUMBER(MATCH(B581,Pages!$B$2:$B$98,0)),"Yes","Check")</f>
        <v>Yes</v>
      </c>
    </row>
    <row r="582" customFormat="false" ht="15" hidden="false" customHeight="false" outlineLevel="0" collapsed="false">
      <c r="A582" s="15" t="s">
        <v>477</v>
      </c>
      <c r="B582" s="15" t="s">
        <v>116</v>
      </c>
      <c r="C582" s="15" t="s">
        <v>1483</v>
      </c>
      <c r="D582" s="15" t="str">
        <f aca="false">IF(ISNUMBER(MATCH(B582,Pages!$B$2:$B$98,0)),"Yes","Check")</f>
        <v>Yes</v>
      </c>
    </row>
    <row r="583" customFormat="false" ht="15" hidden="false" customHeight="false" outlineLevel="0" collapsed="false">
      <c r="A583" s="15" t="s">
        <v>486</v>
      </c>
      <c r="B583" s="15" t="s">
        <v>183</v>
      </c>
      <c r="C583" s="15" t="s">
        <v>1752</v>
      </c>
      <c r="D583" s="15" t="str">
        <f aca="false">IF(ISNUMBER(MATCH(B583,Pages!$B$2:$B$98,0)),"Yes","Check")</f>
        <v>Yes</v>
      </c>
    </row>
    <row r="584" customFormat="false" ht="15" hidden="false" customHeight="false" outlineLevel="0" collapsed="false">
      <c r="A584" s="15" t="s">
        <v>486</v>
      </c>
      <c r="B584" s="15" t="s">
        <v>477</v>
      </c>
      <c r="C584" s="15" t="s">
        <v>1735</v>
      </c>
      <c r="D584" s="15" t="str">
        <f aca="false">IF(ISNUMBER(MATCH(B584,Pages!$B$2:$B$98,0)),"Yes","Check")</f>
        <v>Yes</v>
      </c>
    </row>
    <row r="585" customFormat="false" ht="15" hidden="false" customHeight="false" outlineLevel="0" collapsed="false">
      <c r="A585" s="15" t="s">
        <v>486</v>
      </c>
      <c r="B585" s="15" t="s">
        <v>450</v>
      </c>
      <c r="C585" s="15" t="s">
        <v>1492</v>
      </c>
      <c r="D585" s="15" t="str">
        <f aca="false">IF(ISNUMBER(MATCH(B585,Pages!$B$2:$B$98,0)),"Yes","Check")</f>
        <v>Yes</v>
      </c>
    </row>
    <row r="586" customFormat="false" ht="15" hidden="false" customHeight="false" outlineLevel="0" collapsed="false">
      <c r="A586" s="15" t="s">
        <v>486</v>
      </c>
      <c r="B586" s="15" t="s">
        <v>837</v>
      </c>
      <c r="C586" s="15" t="s">
        <v>1754</v>
      </c>
      <c r="D586" s="15" t="str">
        <f aca="false">IF(ISNUMBER(MATCH(B586,Pages!$B$2:$B$98,0)),"Yes","Check")</f>
        <v>Yes</v>
      </c>
    </row>
    <row r="587" customFormat="false" ht="15" hidden="false" customHeight="false" outlineLevel="0" collapsed="false">
      <c r="A587" s="15" t="s">
        <v>486</v>
      </c>
      <c r="B587" s="15" t="s">
        <v>116</v>
      </c>
      <c r="C587" s="15" t="s">
        <v>1605</v>
      </c>
      <c r="D587" s="15" t="str">
        <f aca="false">IF(ISNUMBER(MATCH(B587,Pages!$B$2:$B$98,0)),"Yes","Check")</f>
        <v>Yes</v>
      </c>
    </row>
    <row r="588" customFormat="false" ht="15" hidden="false" customHeight="false" outlineLevel="0" collapsed="false">
      <c r="A588" s="15" t="s">
        <v>486</v>
      </c>
      <c r="B588" s="15" t="s">
        <v>450</v>
      </c>
      <c r="C588" s="15" t="s">
        <v>1630</v>
      </c>
      <c r="D588" s="15" t="str">
        <f aca="false">IF(ISNUMBER(MATCH(B588,Pages!$B$2:$B$98,0)),"Yes","Check")</f>
        <v>Yes</v>
      </c>
    </row>
    <row r="589" customFormat="false" ht="15" hidden="false" customHeight="false" outlineLevel="0" collapsed="false">
      <c r="A589" s="15" t="s">
        <v>486</v>
      </c>
      <c r="B589" s="15" t="s">
        <v>477</v>
      </c>
      <c r="C589" s="15" t="s">
        <v>1738</v>
      </c>
      <c r="D589" s="15" t="str">
        <f aca="false">IF(ISNUMBER(MATCH(B589,Pages!$B$2:$B$98,0)),"Yes","Check")</f>
        <v>Yes</v>
      </c>
    </row>
    <row r="590" customFormat="false" ht="23.85" hidden="false" customHeight="false" outlineLevel="0" collapsed="false">
      <c r="A590" s="15" t="s">
        <v>486</v>
      </c>
      <c r="B590" s="15" t="s">
        <v>837</v>
      </c>
      <c r="C590" s="15" t="s">
        <v>1696</v>
      </c>
      <c r="D590" s="15" t="str">
        <f aca="false">IF(ISNUMBER(MATCH(B590,Pages!$B$2:$B$98,0)),"Yes","Check")</f>
        <v>Yes</v>
      </c>
    </row>
    <row r="591" customFormat="false" ht="15" hidden="false" customHeight="false" outlineLevel="0" collapsed="false">
      <c r="A591" s="15" t="s">
        <v>486</v>
      </c>
      <c r="B591" s="15" t="s">
        <v>926</v>
      </c>
      <c r="C591" s="15" t="s">
        <v>1657</v>
      </c>
      <c r="D591" s="15" t="str">
        <f aca="false">IF(ISNUMBER(MATCH(B591,Pages!$B$2:$B$98,0)),"Yes","Check")</f>
        <v>Yes</v>
      </c>
    </row>
    <row r="592" customFormat="false" ht="15" hidden="false" customHeight="false" outlineLevel="0" collapsed="false">
      <c r="A592" s="15" t="s">
        <v>486</v>
      </c>
      <c r="B592" s="15" t="s">
        <v>116</v>
      </c>
      <c r="C592" s="15" t="s">
        <v>1483</v>
      </c>
      <c r="D592" s="15" t="str">
        <f aca="false">IF(ISNUMBER(MATCH(B592,Pages!$B$2:$B$98,0)),"Yes","Check")</f>
        <v>Yes</v>
      </c>
    </row>
    <row r="593" customFormat="false" ht="15" hidden="false" customHeight="false" outlineLevel="0" collapsed="false">
      <c r="A593" s="15" t="s">
        <v>495</v>
      </c>
      <c r="B593" s="15" t="s">
        <v>183</v>
      </c>
      <c r="C593" s="15" t="s">
        <v>1641</v>
      </c>
      <c r="D593" s="15" t="str">
        <f aca="false">IF(ISNUMBER(MATCH(B593,Pages!$B$2:$B$98,0)),"Yes","Check")</f>
        <v>Yes</v>
      </c>
    </row>
    <row r="594" customFormat="false" ht="15" hidden="false" customHeight="false" outlineLevel="0" collapsed="false">
      <c r="A594" s="15" t="s">
        <v>495</v>
      </c>
      <c r="B594" s="15" t="s">
        <v>322</v>
      </c>
      <c r="C594" s="15" t="s">
        <v>1755</v>
      </c>
      <c r="D594" s="15" t="str">
        <f aca="false">IF(ISNUMBER(MATCH(B594,Pages!$B$2:$B$98,0)),"Yes","Check")</f>
        <v>Yes</v>
      </c>
    </row>
    <row r="595" customFormat="false" ht="15" hidden="false" customHeight="false" outlineLevel="0" collapsed="false">
      <c r="A595" s="15" t="s">
        <v>495</v>
      </c>
      <c r="B595" s="15" t="s">
        <v>368</v>
      </c>
      <c r="C595" s="15" t="s">
        <v>1756</v>
      </c>
      <c r="D595" s="15" t="str">
        <f aca="false">IF(ISNUMBER(MATCH(B595,Pages!$B$2:$B$98,0)),"Yes","Check")</f>
        <v>Yes</v>
      </c>
    </row>
    <row r="596" customFormat="false" ht="15" hidden="false" customHeight="false" outlineLevel="0" collapsed="false">
      <c r="A596" s="15" t="s">
        <v>495</v>
      </c>
      <c r="B596" s="15" t="s">
        <v>926</v>
      </c>
      <c r="C596" s="15" t="s">
        <v>1757</v>
      </c>
      <c r="D596" s="15" t="str">
        <f aca="false">IF(ISNUMBER(MATCH(B596,Pages!$B$2:$B$98,0)),"Yes","Check")</f>
        <v>Yes</v>
      </c>
    </row>
    <row r="597" customFormat="false" ht="15" hidden="false" customHeight="false" outlineLevel="0" collapsed="false">
      <c r="A597" s="15" t="s">
        <v>495</v>
      </c>
      <c r="B597" s="15" t="s">
        <v>531</v>
      </c>
      <c r="C597" s="15" t="s">
        <v>1758</v>
      </c>
      <c r="D597" s="15" t="str">
        <f aca="false">IF(ISNUMBER(MATCH(B597,Pages!$B$2:$B$98,0)),"Yes","Check")</f>
        <v>Yes</v>
      </c>
    </row>
    <row r="598" customFormat="false" ht="15" hidden="false" customHeight="false" outlineLevel="0" collapsed="false">
      <c r="A598" s="15" t="s">
        <v>495</v>
      </c>
      <c r="B598" s="15" t="s">
        <v>881</v>
      </c>
      <c r="C598" s="15" t="s">
        <v>1759</v>
      </c>
      <c r="D598" s="15" t="str">
        <f aca="false">IF(ISNUMBER(MATCH(B598,Pages!$B$2:$B$98,0)),"Yes","Check")</f>
        <v>Yes</v>
      </c>
    </row>
    <row r="599" customFormat="false" ht="15" hidden="false" customHeight="false" outlineLevel="0" collapsed="false">
      <c r="A599" s="15" t="s">
        <v>495</v>
      </c>
      <c r="B599" s="15" t="s">
        <v>792</v>
      </c>
      <c r="C599" s="15" t="s">
        <v>1494</v>
      </c>
      <c r="D599" s="15" t="str">
        <f aca="false">IF(ISNUMBER(MATCH(B599,Pages!$B$2:$B$98,0)),"Yes","Check")</f>
        <v>Yes</v>
      </c>
    </row>
    <row r="600" customFormat="false" ht="15" hidden="false" customHeight="false" outlineLevel="0" collapsed="false">
      <c r="A600" s="15" t="s">
        <v>495</v>
      </c>
      <c r="B600" s="15" t="s">
        <v>116</v>
      </c>
      <c r="C600" s="15" t="s">
        <v>1605</v>
      </c>
      <c r="D600" s="15" t="str">
        <f aca="false">IF(ISNUMBER(MATCH(B600,Pages!$B$2:$B$98,0)),"Yes","Check")</f>
        <v>Yes</v>
      </c>
    </row>
    <row r="601" customFormat="false" ht="23.85" hidden="false" customHeight="false" outlineLevel="0" collapsed="false">
      <c r="A601" s="15" t="s">
        <v>495</v>
      </c>
      <c r="B601" s="15" t="s">
        <v>322</v>
      </c>
      <c r="C601" s="15" t="s">
        <v>1760</v>
      </c>
      <c r="D601" s="15" t="str">
        <f aca="false">IF(ISNUMBER(MATCH(B601,Pages!$B$2:$B$98,0)),"Yes","Check")</f>
        <v>Yes</v>
      </c>
    </row>
    <row r="602" customFormat="false" ht="15" hidden="false" customHeight="false" outlineLevel="0" collapsed="false">
      <c r="A602" s="15" t="s">
        <v>495</v>
      </c>
      <c r="B602" s="15" t="s">
        <v>792</v>
      </c>
      <c r="C602" s="15" t="s">
        <v>1626</v>
      </c>
      <c r="D602" s="15" t="str">
        <f aca="false">IF(ISNUMBER(MATCH(B602,Pages!$B$2:$B$98,0)),"Yes","Check")</f>
        <v>Yes</v>
      </c>
    </row>
    <row r="603" customFormat="false" ht="15" hidden="false" customHeight="false" outlineLevel="0" collapsed="false">
      <c r="A603" s="15" t="s">
        <v>495</v>
      </c>
      <c r="B603" s="15" t="s">
        <v>881</v>
      </c>
      <c r="C603" s="15" t="s">
        <v>1690</v>
      </c>
      <c r="D603" s="15" t="str">
        <f aca="false">IF(ISNUMBER(MATCH(B603,Pages!$B$2:$B$98,0)),"Yes","Check")</f>
        <v>Yes</v>
      </c>
    </row>
    <row r="604" customFormat="false" ht="15" hidden="false" customHeight="false" outlineLevel="0" collapsed="false">
      <c r="A604" s="15" t="s">
        <v>495</v>
      </c>
      <c r="B604" s="15" t="s">
        <v>926</v>
      </c>
      <c r="C604" s="15" t="s">
        <v>1657</v>
      </c>
      <c r="D604" s="15" t="str">
        <f aca="false">IF(ISNUMBER(MATCH(B604,Pages!$B$2:$B$98,0)),"Yes","Check")</f>
        <v>Yes</v>
      </c>
    </row>
    <row r="605" customFormat="false" ht="15" hidden="false" customHeight="false" outlineLevel="0" collapsed="false">
      <c r="A605" s="15" t="s">
        <v>495</v>
      </c>
      <c r="B605" s="15" t="s">
        <v>116</v>
      </c>
      <c r="C605" s="15" t="s">
        <v>1483</v>
      </c>
      <c r="D605" s="15" t="str">
        <f aca="false">IF(ISNUMBER(MATCH(B605,Pages!$B$2:$B$98,0)),"Yes","Check")</f>
        <v>Yes</v>
      </c>
    </row>
    <row r="606" customFormat="false" ht="15" hidden="false" customHeight="false" outlineLevel="0" collapsed="false">
      <c r="A606" s="15" t="s">
        <v>504</v>
      </c>
      <c r="B606" s="15" t="s">
        <v>926</v>
      </c>
      <c r="C606" s="15" t="s">
        <v>1071</v>
      </c>
      <c r="D606" s="15" t="str">
        <f aca="false">IF(ISNUMBER(MATCH(B606,Pages!$B$2:$B$98,0)),"Yes","Check")</f>
        <v>Yes</v>
      </c>
    </row>
    <row r="607" customFormat="false" ht="15" hidden="false" customHeight="false" outlineLevel="0" collapsed="false">
      <c r="A607" s="15" t="s">
        <v>504</v>
      </c>
      <c r="B607" s="15" t="s">
        <v>757</v>
      </c>
      <c r="C607" s="15" t="s">
        <v>1761</v>
      </c>
      <c r="D607" s="15" t="str">
        <f aca="false">IF(ISNUMBER(MATCH(B607,Pages!$B$2:$B$98,0)),"Yes","Check")</f>
        <v>Yes</v>
      </c>
    </row>
    <row r="608" customFormat="false" ht="15" hidden="false" customHeight="false" outlineLevel="0" collapsed="false">
      <c r="A608" s="15" t="s">
        <v>504</v>
      </c>
      <c r="B608" s="15" t="s">
        <v>257</v>
      </c>
      <c r="C608" s="15" t="s">
        <v>1762</v>
      </c>
      <c r="D608" s="15" t="str">
        <f aca="false">IF(ISNUMBER(MATCH(B608,Pages!$B$2:$B$98,0)),"Yes","Check")</f>
        <v>Yes</v>
      </c>
    </row>
    <row r="609" customFormat="false" ht="15" hidden="false" customHeight="false" outlineLevel="0" collapsed="false">
      <c r="A609" s="15" t="s">
        <v>504</v>
      </c>
      <c r="B609" s="15" t="s">
        <v>183</v>
      </c>
      <c r="C609" s="15" t="s">
        <v>1506</v>
      </c>
      <c r="D609" s="15" t="str">
        <f aca="false">IF(ISNUMBER(MATCH(B609,Pages!$B$2:$B$98,0)),"Yes","Check")</f>
        <v>Yes</v>
      </c>
    </row>
    <row r="610" customFormat="false" ht="15" hidden="false" customHeight="false" outlineLevel="0" collapsed="false">
      <c r="A610" s="15" t="s">
        <v>504</v>
      </c>
      <c r="B610" s="15" t="s">
        <v>116</v>
      </c>
      <c r="C610" s="15" t="s">
        <v>1605</v>
      </c>
      <c r="D610" s="15" t="str">
        <f aca="false">IF(ISNUMBER(MATCH(B610,Pages!$B$2:$B$98,0)),"Yes","Check")</f>
        <v>Yes</v>
      </c>
    </row>
    <row r="611" customFormat="false" ht="15" hidden="false" customHeight="false" outlineLevel="0" collapsed="false">
      <c r="A611" s="15" t="s">
        <v>504</v>
      </c>
      <c r="B611" s="15" t="s">
        <v>257</v>
      </c>
      <c r="C611" s="15" t="s">
        <v>1763</v>
      </c>
      <c r="D611" s="15" t="str">
        <f aca="false">IF(ISNUMBER(MATCH(B611,Pages!$B$2:$B$98,0)),"Yes","Check")</f>
        <v>Yes</v>
      </c>
    </row>
    <row r="612" customFormat="false" ht="15" hidden="false" customHeight="false" outlineLevel="0" collapsed="false">
      <c r="A612" s="15" t="s">
        <v>504</v>
      </c>
      <c r="B612" s="15" t="s">
        <v>757</v>
      </c>
      <c r="C612" s="15" t="s">
        <v>1608</v>
      </c>
      <c r="D612" s="15" t="str">
        <f aca="false">IF(ISNUMBER(MATCH(B612,Pages!$B$2:$B$98,0)),"Yes","Check")</f>
        <v>Yes</v>
      </c>
    </row>
    <row r="613" customFormat="false" ht="15" hidden="false" customHeight="false" outlineLevel="0" collapsed="false">
      <c r="A613" s="15" t="s">
        <v>504</v>
      </c>
      <c r="B613" s="15" t="s">
        <v>926</v>
      </c>
      <c r="C613" s="15" t="s">
        <v>1657</v>
      </c>
      <c r="D613" s="15" t="str">
        <f aca="false">IF(ISNUMBER(MATCH(B613,Pages!$B$2:$B$98,0)),"Yes","Check")</f>
        <v>Yes</v>
      </c>
    </row>
    <row r="614" customFormat="false" ht="15" hidden="false" customHeight="false" outlineLevel="0" collapsed="false">
      <c r="A614" s="15" t="s">
        <v>504</v>
      </c>
      <c r="B614" s="15" t="s">
        <v>116</v>
      </c>
      <c r="C614" s="15" t="s">
        <v>1483</v>
      </c>
      <c r="D614" s="15" t="str">
        <f aca="false">IF(ISNUMBER(MATCH(B614,Pages!$B$2:$B$98,0)),"Yes","Check")</f>
        <v>Yes</v>
      </c>
    </row>
    <row r="615" customFormat="false" ht="15" hidden="false" customHeight="false" outlineLevel="0" collapsed="false">
      <c r="A615" s="15" t="s">
        <v>513</v>
      </c>
      <c r="B615" s="15" t="s">
        <v>926</v>
      </c>
      <c r="C615" s="15" t="s">
        <v>1757</v>
      </c>
      <c r="D615" s="15" t="str">
        <f aca="false">IF(ISNUMBER(MATCH(B615,Pages!$B$2:$B$98,0)),"Yes","Check")</f>
        <v>Yes</v>
      </c>
    </row>
    <row r="616" customFormat="false" ht="15" hidden="false" customHeight="false" outlineLevel="0" collapsed="false">
      <c r="A616" s="15" t="s">
        <v>513</v>
      </c>
      <c r="B616" s="15" t="s">
        <v>183</v>
      </c>
      <c r="C616" s="15" t="s">
        <v>1506</v>
      </c>
      <c r="D616" s="15" t="str">
        <f aca="false">IF(ISNUMBER(MATCH(B616,Pages!$B$2:$B$98,0)),"Yes","Check")</f>
        <v>Yes</v>
      </c>
    </row>
    <row r="617" customFormat="false" ht="15" hidden="false" customHeight="false" outlineLevel="0" collapsed="false">
      <c r="A617" s="15" t="s">
        <v>513</v>
      </c>
      <c r="B617" s="15" t="s">
        <v>775</v>
      </c>
      <c r="C617" s="15" t="s">
        <v>1491</v>
      </c>
      <c r="D617" s="15" t="str">
        <f aca="false">IF(ISNUMBER(MATCH(B617,Pages!$B$2:$B$98,0)),"Yes","Check")</f>
        <v>Yes</v>
      </c>
    </row>
    <row r="618" customFormat="false" ht="15" hidden="false" customHeight="false" outlineLevel="0" collapsed="false">
      <c r="A618" s="15" t="s">
        <v>513</v>
      </c>
      <c r="B618" s="15" t="s">
        <v>450</v>
      </c>
      <c r="C618" s="15" t="s">
        <v>1482</v>
      </c>
      <c r="D618" s="15" t="str">
        <f aca="false">IF(ISNUMBER(MATCH(B618,Pages!$B$2:$B$98,0)),"Yes","Check")</f>
        <v>Yes</v>
      </c>
    </row>
    <row r="619" customFormat="false" ht="15" hidden="false" customHeight="false" outlineLevel="0" collapsed="false">
      <c r="A619" s="15" t="s">
        <v>513</v>
      </c>
      <c r="B619" s="15" t="s">
        <v>766</v>
      </c>
      <c r="C619" s="15" t="s">
        <v>1764</v>
      </c>
      <c r="D619" s="15" t="str">
        <f aca="false">IF(ISNUMBER(MATCH(B619,Pages!$B$2:$B$98,0)),"Yes","Check")</f>
        <v>Yes</v>
      </c>
    </row>
    <row r="620" customFormat="false" ht="15" hidden="false" customHeight="false" outlineLevel="0" collapsed="false">
      <c r="A620" s="15" t="s">
        <v>513</v>
      </c>
      <c r="B620" s="15" t="s">
        <v>654</v>
      </c>
      <c r="C620" s="15" t="s">
        <v>1765</v>
      </c>
      <c r="D620" s="15" t="str">
        <f aca="false">IF(ISNUMBER(MATCH(B620,Pages!$B$2:$B$98,0)),"Yes","Check")</f>
        <v>Yes</v>
      </c>
    </row>
    <row r="621" customFormat="false" ht="15" hidden="false" customHeight="false" outlineLevel="0" collapsed="false">
      <c r="A621" s="15" t="s">
        <v>513</v>
      </c>
      <c r="B621" s="15" t="s">
        <v>671</v>
      </c>
      <c r="C621" s="15" t="s">
        <v>1766</v>
      </c>
      <c r="D621" s="15" t="str">
        <f aca="false">IF(ISNUMBER(MATCH(B621,Pages!$B$2:$B$98,0)),"Yes","Check")</f>
        <v>Yes</v>
      </c>
    </row>
    <row r="622" customFormat="false" ht="15" hidden="false" customHeight="false" outlineLevel="0" collapsed="false">
      <c r="A622" s="15" t="s">
        <v>513</v>
      </c>
      <c r="B622" s="15" t="s">
        <v>116</v>
      </c>
      <c r="C622" s="15" t="s">
        <v>1605</v>
      </c>
      <c r="D622" s="15" t="str">
        <f aca="false">IF(ISNUMBER(MATCH(B622,Pages!$B$2:$B$98,0)),"Yes","Check")</f>
        <v>Yes</v>
      </c>
    </row>
    <row r="623" customFormat="false" ht="15" hidden="false" customHeight="false" outlineLevel="0" collapsed="false">
      <c r="A623" s="15" t="s">
        <v>513</v>
      </c>
      <c r="B623" s="15" t="s">
        <v>671</v>
      </c>
      <c r="C623" s="15" t="s">
        <v>1767</v>
      </c>
      <c r="D623" s="15" t="str">
        <f aca="false">IF(ISNUMBER(MATCH(B623,Pages!$B$2:$B$98,0)),"Yes","Check")</f>
        <v>Yes</v>
      </c>
    </row>
    <row r="624" customFormat="false" ht="23.85" hidden="false" customHeight="false" outlineLevel="0" collapsed="false">
      <c r="A624" s="15" t="s">
        <v>513</v>
      </c>
      <c r="B624" s="15" t="s">
        <v>766</v>
      </c>
      <c r="C624" s="15" t="s">
        <v>1712</v>
      </c>
      <c r="D624" s="15" t="str">
        <f aca="false">IF(ISNUMBER(MATCH(B624,Pages!$B$2:$B$98,0)),"Yes","Check")</f>
        <v>Yes</v>
      </c>
    </row>
    <row r="625" customFormat="false" ht="15" hidden="false" customHeight="false" outlineLevel="0" collapsed="false">
      <c r="A625" s="15" t="s">
        <v>513</v>
      </c>
      <c r="B625" s="15" t="s">
        <v>775</v>
      </c>
      <c r="C625" s="15" t="s">
        <v>1677</v>
      </c>
      <c r="D625" s="15" t="str">
        <f aca="false">IF(ISNUMBER(MATCH(B625,Pages!$B$2:$B$98,0)),"Yes","Check")</f>
        <v>Yes</v>
      </c>
    </row>
    <row r="626" customFormat="false" ht="15" hidden="false" customHeight="false" outlineLevel="0" collapsed="false">
      <c r="A626" s="15" t="s">
        <v>513</v>
      </c>
      <c r="B626" s="15" t="s">
        <v>926</v>
      </c>
      <c r="C626" s="15" t="s">
        <v>1657</v>
      </c>
      <c r="D626" s="15" t="str">
        <f aca="false">IF(ISNUMBER(MATCH(B626,Pages!$B$2:$B$98,0)),"Yes","Check")</f>
        <v>Yes</v>
      </c>
    </row>
    <row r="627" customFormat="false" ht="15" hidden="false" customHeight="false" outlineLevel="0" collapsed="false">
      <c r="A627" s="15" t="s">
        <v>513</v>
      </c>
      <c r="B627" s="15" t="s">
        <v>116</v>
      </c>
      <c r="C627" s="15" t="s">
        <v>1483</v>
      </c>
      <c r="D627" s="15" t="str">
        <f aca="false">IF(ISNUMBER(MATCH(B627,Pages!$B$2:$B$98,0)),"Yes","Check")</f>
        <v>Yes</v>
      </c>
    </row>
    <row r="628" customFormat="false" ht="15" hidden="false" customHeight="false" outlineLevel="0" collapsed="false">
      <c r="A628" s="15" t="s">
        <v>522</v>
      </c>
      <c r="B628" s="15" t="s">
        <v>183</v>
      </c>
      <c r="C628" s="15" t="s">
        <v>1487</v>
      </c>
      <c r="D628" s="15" t="str">
        <f aca="false">IF(ISNUMBER(MATCH(B628,Pages!$B$2:$B$98,0)),"Yes","Check")</f>
        <v>Yes</v>
      </c>
    </row>
    <row r="629" customFormat="false" ht="15" hidden="false" customHeight="false" outlineLevel="0" collapsed="false">
      <c r="A629" s="15" t="s">
        <v>522</v>
      </c>
      <c r="B629" s="15" t="s">
        <v>386</v>
      </c>
      <c r="C629" s="15" t="s">
        <v>1733</v>
      </c>
      <c r="D629" s="15" t="str">
        <f aca="false">IF(ISNUMBER(MATCH(B629,Pages!$B$2:$B$98,0)),"Yes","Check")</f>
        <v>Yes</v>
      </c>
    </row>
    <row r="630" customFormat="false" ht="15" hidden="false" customHeight="false" outlineLevel="0" collapsed="false">
      <c r="A630" s="15" t="s">
        <v>522</v>
      </c>
      <c r="B630" s="15" t="s">
        <v>977</v>
      </c>
      <c r="C630" s="15" t="s">
        <v>1719</v>
      </c>
      <c r="D630" s="15" t="str">
        <f aca="false">IF(ISNUMBER(MATCH(B630,Pages!$B$2:$B$98,0)),"Yes","Check")</f>
        <v>Yes</v>
      </c>
    </row>
    <row r="631" customFormat="false" ht="15" hidden="false" customHeight="false" outlineLevel="0" collapsed="false">
      <c r="A631" s="15" t="s">
        <v>522</v>
      </c>
      <c r="B631" s="15" t="s">
        <v>783</v>
      </c>
      <c r="C631" s="15" t="s">
        <v>1708</v>
      </c>
      <c r="D631" s="15" t="str">
        <f aca="false">IF(ISNUMBER(MATCH(B631,Pages!$B$2:$B$98,0)),"Yes","Check")</f>
        <v>Yes</v>
      </c>
    </row>
    <row r="632" customFormat="false" ht="15" hidden="false" customHeight="false" outlineLevel="0" collapsed="false">
      <c r="A632" s="15" t="s">
        <v>522</v>
      </c>
      <c r="B632" s="15" t="s">
        <v>450</v>
      </c>
      <c r="C632" s="15" t="s">
        <v>1492</v>
      </c>
      <c r="D632" s="15" t="str">
        <f aca="false">IF(ISNUMBER(MATCH(B632,Pages!$B$2:$B$98,0)),"Yes","Check")</f>
        <v>Yes</v>
      </c>
    </row>
    <row r="633" customFormat="false" ht="15" hidden="false" customHeight="false" outlineLevel="0" collapsed="false">
      <c r="A633" s="15" t="s">
        <v>522</v>
      </c>
      <c r="B633" s="15" t="s">
        <v>585</v>
      </c>
      <c r="C633" s="15" t="s">
        <v>1768</v>
      </c>
      <c r="D633" s="15" t="str">
        <f aca="false">IF(ISNUMBER(MATCH(B633,Pages!$B$2:$B$98,0)),"Yes","Check")</f>
        <v>Yes</v>
      </c>
    </row>
    <row r="634" customFormat="false" ht="15" hidden="false" customHeight="false" outlineLevel="0" collapsed="false">
      <c r="A634" s="15" t="s">
        <v>522</v>
      </c>
      <c r="B634" s="15" t="s">
        <v>116</v>
      </c>
      <c r="C634" s="15" t="s">
        <v>1605</v>
      </c>
      <c r="D634" s="15" t="str">
        <f aca="false">IF(ISNUMBER(MATCH(B634,Pages!$B$2:$B$98,0)),"Yes","Check")</f>
        <v>Yes</v>
      </c>
    </row>
    <row r="635" customFormat="false" ht="15" hidden="false" customHeight="false" outlineLevel="0" collapsed="false">
      <c r="A635" s="15" t="s">
        <v>522</v>
      </c>
      <c r="B635" s="15" t="s">
        <v>450</v>
      </c>
      <c r="C635" s="15" t="s">
        <v>1630</v>
      </c>
      <c r="D635" s="15" t="str">
        <f aca="false">IF(ISNUMBER(MATCH(B635,Pages!$B$2:$B$98,0)),"Yes","Check")</f>
        <v>Yes</v>
      </c>
    </row>
    <row r="636" customFormat="false" ht="15" hidden="false" customHeight="false" outlineLevel="0" collapsed="false">
      <c r="A636" s="15" t="s">
        <v>522</v>
      </c>
      <c r="B636" s="15" t="s">
        <v>585</v>
      </c>
      <c r="C636" s="15" t="s">
        <v>1769</v>
      </c>
      <c r="D636" s="15" t="str">
        <f aca="false">IF(ISNUMBER(MATCH(B636,Pages!$B$2:$B$98,0)),"Yes","Check")</f>
        <v>Yes</v>
      </c>
    </row>
    <row r="637" customFormat="false" ht="23.85" hidden="false" customHeight="false" outlineLevel="0" collapsed="false">
      <c r="A637" s="15" t="s">
        <v>522</v>
      </c>
      <c r="B637" s="15" t="s">
        <v>977</v>
      </c>
      <c r="C637" s="15" t="s">
        <v>1770</v>
      </c>
      <c r="D637" s="15" t="str">
        <f aca="false">IF(ISNUMBER(MATCH(B637,Pages!$B$2:$B$98,0)),"Yes","Check")</f>
        <v>Yes</v>
      </c>
    </row>
    <row r="638" customFormat="false" ht="15" hidden="false" customHeight="false" outlineLevel="0" collapsed="false">
      <c r="A638" s="15" t="s">
        <v>522</v>
      </c>
      <c r="B638" s="15" t="s">
        <v>620</v>
      </c>
      <c r="C638" s="15" t="s">
        <v>1730</v>
      </c>
      <c r="D638" s="15" t="str">
        <f aca="false">IF(ISNUMBER(MATCH(B638,Pages!$B$2:$B$98,0)),"Yes","Check")</f>
        <v>Yes</v>
      </c>
    </row>
    <row r="639" customFormat="false" ht="15" hidden="false" customHeight="false" outlineLevel="0" collapsed="false">
      <c r="A639" s="15" t="s">
        <v>522</v>
      </c>
      <c r="B639" s="15" t="s">
        <v>116</v>
      </c>
      <c r="C639" s="15" t="s">
        <v>1483</v>
      </c>
      <c r="D639" s="15" t="str">
        <f aca="false">IF(ISNUMBER(MATCH(B639,Pages!$B$2:$B$98,0)),"Yes","Check")</f>
        <v>Yes</v>
      </c>
    </row>
    <row r="640" customFormat="false" ht="15" hidden="false" customHeight="false" outlineLevel="0" collapsed="false">
      <c r="A640" s="15" t="s">
        <v>531</v>
      </c>
      <c r="B640" s="15" t="s">
        <v>183</v>
      </c>
      <c r="C640" s="15" t="s">
        <v>1771</v>
      </c>
      <c r="D640" s="15" t="str">
        <f aca="false">IF(ISNUMBER(MATCH(B640,Pages!$B$2:$B$98,0)),"Yes","Check")</f>
        <v>Yes</v>
      </c>
    </row>
    <row r="641" customFormat="false" ht="15" hidden="false" customHeight="false" outlineLevel="0" collapsed="false">
      <c r="A641" s="15" t="s">
        <v>531</v>
      </c>
      <c r="B641" s="15" t="s">
        <v>322</v>
      </c>
      <c r="C641" s="15" t="s">
        <v>1772</v>
      </c>
      <c r="D641" s="15" t="str">
        <f aca="false">IF(ISNUMBER(MATCH(B641,Pages!$B$2:$B$98,0)),"Yes","Check")</f>
        <v>Yes</v>
      </c>
    </row>
    <row r="642" customFormat="false" ht="15" hidden="false" customHeight="false" outlineLevel="0" collapsed="false">
      <c r="A642" s="15" t="s">
        <v>531</v>
      </c>
      <c r="B642" s="15" t="s">
        <v>368</v>
      </c>
      <c r="C642" s="15" t="s">
        <v>1773</v>
      </c>
      <c r="D642" s="15" t="str">
        <f aca="false">IF(ISNUMBER(MATCH(B642,Pages!$B$2:$B$98,0)),"Yes","Check")</f>
        <v>Yes</v>
      </c>
    </row>
    <row r="643" customFormat="false" ht="15" hidden="false" customHeight="false" outlineLevel="0" collapsed="false">
      <c r="A643" s="15" t="s">
        <v>531</v>
      </c>
      <c r="B643" s="15" t="s">
        <v>881</v>
      </c>
      <c r="C643" s="15" t="s">
        <v>1774</v>
      </c>
      <c r="D643" s="15" t="str">
        <f aca="false">IF(ISNUMBER(MATCH(B643,Pages!$B$2:$B$98,0)),"Yes","Check")</f>
        <v>Yes</v>
      </c>
    </row>
    <row r="644" customFormat="false" ht="15" hidden="false" customHeight="false" outlineLevel="0" collapsed="false">
      <c r="A644" s="15" t="s">
        <v>531</v>
      </c>
      <c r="B644" s="15" t="s">
        <v>757</v>
      </c>
      <c r="C644" s="15" t="s">
        <v>1599</v>
      </c>
      <c r="D644" s="15" t="str">
        <f aca="false">IF(ISNUMBER(MATCH(B644,Pages!$B$2:$B$98,0)),"Yes","Check")</f>
        <v>Yes</v>
      </c>
    </row>
    <row r="645" customFormat="false" ht="15" hidden="false" customHeight="false" outlineLevel="0" collapsed="false">
      <c r="A645" s="15" t="s">
        <v>531</v>
      </c>
      <c r="B645" s="15" t="s">
        <v>792</v>
      </c>
      <c r="C645" s="15" t="s">
        <v>1775</v>
      </c>
      <c r="D645" s="15" t="str">
        <f aca="false">IF(ISNUMBER(MATCH(B645,Pages!$B$2:$B$98,0)),"Yes","Check")</f>
        <v>Yes</v>
      </c>
    </row>
    <row r="646" customFormat="false" ht="15" hidden="false" customHeight="false" outlineLevel="0" collapsed="false">
      <c r="A646" s="15" t="s">
        <v>531</v>
      </c>
      <c r="B646" s="15" t="s">
        <v>116</v>
      </c>
      <c r="C646" s="15" t="s">
        <v>1605</v>
      </c>
      <c r="D646" s="15" t="str">
        <f aca="false">IF(ISNUMBER(MATCH(B646,Pages!$B$2:$B$98,0)),"Yes","Check")</f>
        <v>Yes</v>
      </c>
    </row>
    <row r="647" customFormat="false" ht="23.85" hidden="false" customHeight="false" outlineLevel="0" collapsed="false">
      <c r="A647" s="15" t="s">
        <v>531</v>
      </c>
      <c r="B647" s="15" t="s">
        <v>322</v>
      </c>
      <c r="C647" s="15" t="s">
        <v>1760</v>
      </c>
      <c r="D647" s="15" t="str">
        <f aca="false">IF(ISNUMBER(MATCH(B647,Pages!$B$2:$B$98,0)),"Yes","Check")</f>
        <v>Yes</v>
      </c>
    </row>
    <row r="648" customFormat="false" ht="15" hidden="false" customHeight="false" outlineLevel="0" collapsed="false">
      <c r="A648" s="15" t="s">
        <v>531</v>
      </c>
      <c r="B648" s="15" t="s">
        <v>757</v>
      </c>
      <c r="C648" s="15" t="s">
        <v>1608</v>
      </c>
      <c r="D648" s="15" t="str">
        <f aca="false">IF(ISNUMBER(MATCH(B648,Pages!$B$2:$B$98,0)),"Yes","Check")</f>
        <v>Yes</v>
      </c>
    </row>
    <row r="649" customFormat="false" ht="15" hidden="false" customHeight="false" outlineLevel="0" collapsed="false">
      <c r="A649" s="15" t="s">
        <v>531</v>
      </c>
      <c r="B649" s="15" t="s">
        <v>792</v>
      </c>
      <c r="C649" s="15" t="s">
        <v>1626</v>
      </c>
      <c r="D649" s="15" t="str">
        <f aca="false">IF(ISNUMBER(MATCH(B649,Pages!$B$2:$B$98,0)),"Yes","Check")</f>
        <v>Yes</v>
      </c>
    </row>
    <row r="650" customFormat="false" ht="15" hidden="false" customHeight="false" outlineLevel="0" collapsed="false">
      <c r="A650" s="15" t="s">
        <v>531</v>
      </c>
      <c r="B650" s="15" t="s">
        <v>722</v>
      </c>
      <c r="C650" s="15" t="s">
        <v>1609</v>
      </c>
      <c r="D650" s="15" t="str">
        <f aca="false">IF(ISNUMBER(MATCH(B650,Pages!$B$2:$B$98,0)),"Yes","Check")</f>
        <v>Yes</v>
      </c>
    </row>
    <row r="651" customFormat="false" ht="15" hidden="false" customHeight="false" outlineLevel="0" collapsed="false">
      <c r="A651" s="15" t="s">
        <v>531</v>
      </c>
      <c r="B651" s="15" t="s">
        <v>116</v>
      </c>
      <c r="C651" s="15" t="s">
        <v>1483</v>
      </c>
      <c r="D651" s="15" t="str">
        <f aca="false">IF(ISNUMBER(MATCH(B651,Pages!$B$2:$B$98,0)),"Yes","Check")</f>
        <v>Yes</v>
      </c>
    </row>
    <row r="652" customFormat="false" ht="15" hidden="false" customHeight="false" outlineLevel="0" collapsed="false">
      <c r="A652" s="15" t="s">
        <v>540</v>
      </c>
      <c r="B652" s="15" t="s">
        <v>183</v>
      </c>
      <c r="C652" s="15" t="s">
        <v>1487</v>
      </c>
      <c r="D652" s="15" t="str">
        <f aca="false">IF(ISNUMBER(MATCH(B652,Pages!$B$2:$B$98,0)),"Yes","Check")</f>
        <v>Yes</v>
      </c>
    </row>
    <row r="653" customFormat="false" ht="15" hidden="false" customHeight="false" outlineLevel="0" collapsed="false">
      <c r="A653" s="15" t="s">
        <v>540</v>
      </c>
      <c r="B653" s="15" t="s">
        <v>810</v>
      </c>
      <c r="C653" s="15" t="s">
        <v>1633</v>
      </c>
      <c r="D653" s="15" t="str">
        <f aca="false">IF(ISNUMBER(MATCH(B653,Pages!$B$2:$B$98,0)),"Yes","Check")</f>
        <v>Yes</v>
      </c>
    </row>
    <row r="654" customFormat="false" ht="15" hidden="false" customHeight="false" outlineLevel="0" collapsed="false">
      <c r="A654" s="15" t="s">
        <v>540</v>
      </c>
      <c r="B654" s="15" t="s">
        <v>713</v>
      </c>
      <c r="C654" s="15" t="s">
        <v>1776</v>
      </c>
      <c r="D654" s="15" t="str">
        <f aca="false">IF(ISNUMBER(MATCH(B654,Pages!$B$2:$B$98,0)),"Yes","Check")</f>
        <v>Yes</v>
      </c>
    </row>
    <row r="655" customFormat="false" ht="15" hidden="false" customHeight="false" outlineLevel="0" collapsed="false">
      <c r="A655" s="15" t="s">
        <v>540</v>
      </c>
      <c r="B655" s="15" t="s">
        <v>705</v>
      </c>
      <c r="C655" s="15" t="s">
        <v>1777</v>
      </c>
      <c r="D655" s="15" t="str">
        <f aca="false">IF(ISNUMBER(MATCH(B655,Pages!$B$2:$B$98,0)),"Yes","Check")</f>
        <v>Yes</v>
      </c>
    </row>
    <row r="656" customFormat="false" ht="15" hidden="false" customHeight="false" outlineLevel="0" collapsed="false">
      <c r="A656" s="15" t="s">
        <v>540</v>
      </c>
      <c r="B656" s="15" t="s">
        <v>638</v>
      </c>
      <c r="C656" s="15" t="s">
        <v>1778</v>
      </c>
      <c r="D656" s="15" t="str">
        <f aca="false">IF(ISNUMBER(MATCH(B656,Pages!$B$2:$B$98,0)),"Yes","Check")</f>
        <v>Yes</v>
      </c>
    </row>
    <row r="657" customFormat="false" ht="15" hidden="false" customHeight="false" outlineLevel="0" collapsed="false">
      <c r="A657" s="15" t="s">
        <v>540</v>
      </c>
      <c r="B657" s="15" t="s">
        <v>304</v>
      </c>
      <c r="C657" s="15" t="s">
        <v>1636</v>
      </c>
      <c r="D657" s="15" t="str">
        <f aca="false">IF(ISNUMBER(MATCH(B657,Pages!$B$2:$B$98,0)),"Yes","Check")</f>
        <v>Yes</v>
      </c>
    </row>
    <row r="658" customFormat="false" ht="15" hidden="false" customHeight="false" outlineLevel="0" collapsed="false">
      <c r="A658" s="15" t="s">
        <v>540</v>
      </c>
      <c r="B658" s="15" t="s">
        <v>237</v>
      </c>
      <c r="C658" s="15" t="s">
        <v>1746</v>
      </c>
      <c r="D658" s="15" t="str">
        <f aca="false">IF(ISNUMBER(MATCH(B658,Pages!$B$2:$B$98,0)),"Yes","Check")</f>
        <v>Yes</v>
      </c>
    </row>
    <row r="659" customFormat="false" ht="15" hidden="false" customHeight="false" outlineLevel="0" collapsed="false">
      <c r="A659" s="15" t="s">
        <v>540</v>
      </c>
      <c r="B659" s="15" t="s">
        <v>116</v>
      </c>
      <c r="C659" s="15" t="s">
        <v>1605</v>
      </c>
      <c r="D659" s="15" t="str">
        <f aca="false">IF(ISNUMBER(MATCH(B659,Pages!$B$2:$B$98,0)),"Yes","Check")</f>
        <v>Yes</v>
      </c>
    </row>
    <row r="660" customFormat="false" ht="23.85" hidden="false" customHeight="false" outlineLevel="0" collapsed="false">
      <c r="A660" s="15" t="s">
        <v>540</v>
      </c>
      <c r="B660" s="15" t="s">
        <v>237</v>
      </c>
      <c r="C660" s="15" t="s">
        <v>1661</v>
      </c>
      <c r="D660" s="15" t="str">
        <f aca="false">IF(ISNUMBER(MATCH(B660,Pages!$B$2:$B$98,0)),"Yes","Check")</f>
        <v>Yes</v>
      </c>
    </row>
    <row r="661" customFormat="false" ht="15" hidden="false" customHeight="false" outlineLevel="0" collapsed="false">
      <c r="A661" s="15" t="s">
        <v>540</v>
      </c>
      <c r="B661" s="15" t="s">
        <v>638</v>
      </c>
      <c r="C661" s="15" t="s">
        <v>1779</v>
      </c>
      <c r="D661" s="15" t="str">
        <f aca="false">IF(ISNUMBER(MATCH(B661,Pages!$B$2:$B$98,0)),"Yes","Check")</f>
        <v>Yes</v>
      </c>
    </row>
    <row r="662" customFormat="false" ht="15" hidden="false" customHeight="false" outlineLevel="0" collapsed="false">
      <c r="A662" s="15" t="s">
        <v>540</v>
      </c>
      <c r="B662" s="15" t="s">
        <v>705</v>
      </c>
      <c r="C662" s="15" t="s">
        <v>1780</v>
      </c>
      <c r="D662" s="15" t="str">
        <f aca="false">IF(ISNUMBER(MATCH(B662,Pages!$B$2:$B$98,0)),"Yes","Check")</f>
        <v>Yes</v>
      </c>
    </row>
    <row r="663" customFormat="false" ht="23.85" hidden="false" customHeight="false" outlineLevel="0" collapsed="false">
      <c r="A663" s="15" t="s">
        <v>540</v>
      </c>
      <c r="B663" s="15" t="s">
        <v>713</v>
      </c>
      <c r="C663" s="15" t="s">
        <v>1781</v>
      </c>
      <c r="D663" s="15" t="str">
        <f aca="false">IF(ISNUMBER(MATCH(B663,Pages!$B$2:$B$98,0)),"Yes","Check")</f>
        <v>Yes</v>
      </c>
    </row>
    <row r="664" customFormat="false" ht="15" hidden="false" customHeight="false" outlineLevel="0" collapsed="false">
      <c r="A664" s="15" t="s">
        <v>540</v>
      </c>
      <c r="B664" s="15" t="s">
        <v>810</v>
      </c>
      <c r="C664" s="15" t="s">
        <v>1640</v>
      </c>
      <c r="D664" s="15" t="str">
        <f aca="false">IF(ISNUMBER(MATCH(B664,Pages!$B$2:$B$98,0)),"Yes","Check")</f>
        <v>Yes</v>
      </c>
    </row>
    <row r="665" customFormat="false" ht="15" hidden="false" customHeight="false" outlineLevel="0" collapsed="false">
      <c r="A665" s="15" t="s">
        <v>540</v>
      </c>
      <c r="B665" s="15" t="s">
        <v>748</v>
      </c>
      <c r="C665" s="15" t="s">
        <v>1616</v>
      </c>
      <c r="D665" s="15" t="str">
        <f aca="false">IF(ISNUMBER(MATCH(B665,Pages!$B$2:$B$98,0)),"Yes","Check")</f>
        <v>Yes</v>
      </c>
    </row>
    <row r="666" customFormat="false" ht="15" hidden="false" customHeight="false" outlineLevel="0" collapsed="false">
      <c r="A666" s="15" t="s">
        <v>540</v>
      </c>
      <c r="B666" s="15" t="s">
        <v>116</v>
      </c>
      <c r="C666" s="15" t="s">
        <v>1483</v>
      </c>
      <c r="D666" s="15" t="str">
        <f aca="false">IF(ISNUMBER(MATCH(B666,Pages!$B$2:$B$98,0)),"Yes","Check")</f>
        <v>Yes</v>
      </c>
    </row>
    <row r="667" customFormat="false" ht="15" hidden="false" customHeight="false" outlineLevel="0" collapsed="false">
      <c r="A667" s="15" t="s">
        <v>549</v>
      </c>
      <c r="B667" s="15" t="s">
        <v>183</v>
      </c>
      <c r="C667" s="15" t="s">
        <v>1506</v>
      </c>
      <c r="D667" s="15" t="str">
        <f aca="false">IF(ISNUMBER(MATCH(B667,Pages!$B$2:$B$98,0)),"Yes","Check")</f>
        <v>Yes</v>
      </c>
    </row>
    <row r="668" customFormat="false" ht="15" hidden="false" customHeight="false" outlineLevel="0" collapsed="false">
      <c r="A668" s="15" t="s">
        <v>549</v>
      </c>
      <c r="B668" s="15" t="s">
        <v>926</v>
      </c>
      <c r="C668" s="15" t="s">
        <v>929</v>
      </c>
      <c r="D668" s="15" t="str">
        <f aca="false">IF(ISNUMBER(MATCH(B668,Pages!$B$2:$B$98,0)),"Yes","Check")</f>
        <v>Yes</v>
      </c>
    </row>
    <row r="669" customFormat="false" ht="15" hidden="false" customHeight="false" outlineLevel="0" collapsed="false">
      <c r="A669" s="15" t="s">
        <v>549</v>
      </c>
      <c r="B669" s="15" t="s">
        <v>766</v>
      </c>
      <c r="C669" s="15" t="s">
        <v>1782</v>
      </c>
      <c r="D669" s="15" t="str">
        <f aca="false">IF(ISNUMBER(MATCH(B669,Pages!$B$2:$B$98,0)),"Yes","Check")</f>
        <v>Yes</v>
      </c>
    </row>
    <row r="670" customFormat="false" ht="15" hidden="false" customHeight="false" outlineLevel="0" collapsed="false">
      <c r="A670" s="15" t="s">
        <v>549</v>
      </c>
      <c r="B670" s="15" t="s">
        <v>450</v>
      </c>
      <c r="C670" s="15" t="s">
        <v>1492</v>
      </c>
      <c r="D670" s="15" t="str">
        <f aca="false">IF(ISNUMBER(MATCH(B670,Pages!$B$2:$B$98,0)),"Yes","Check")</f>
        <v>Yes</v>
      </c>
    </row>
    <row r="671" customFormat="false" ht="15" hidden="false" customHeight="false" outlineLevel="0" collapsed="false">
      <c r="A671" s="15" t="s">
        <v>549</v>
      </c>
      <c r="B671" s="15" t="s">
        <v>116</v>
      </c>
      <c r="C671" s="15" t="s">
        <v>1605</v>
      </c>
      <c r="D671" s="15" t="str">
        <f aca="false">IF(ISNUMBER(MATCH(B671,Pages!$B$2:$B$98,0)),"Yes","Check")</f>
        <v>Yes</v>
      </c>
    </row>
    <row r="672" customFormat="false" ht="15" hidden="false" customHeight="false" outlineLevel="0" collapsed="false">
      <c r="A672" s="15" t="s">
        <v>549</v>
      </c>
      <c r="B672" s="15" t="s">
        <v>450</v>
      </c>
      <c r="C672" s="15" t="s">
        <v>1630</v>
      </c>
      <c r="D672" s="15" t="str">
        <f aca="false">IF(ISNUMBER(MATCH(B672,Pages!$B$2:$B$98,0)),"Yes","Check")</f>
        <v>Yes</v>
      </c>
    </row>
    <row r="673" customFormat="false" ht="23.85" hidden="false" customHeight="false" outlineLevel="0" collapsed="false">
      <c r="A673" s="15" t="s">
        <v>549</v>
      </c>
      <c r="B673" s="15" t="s">
        <v>766</v>
      </c>
      <c r="C673" s="15" t="s">
        <v>1712</v>
      </c>
      <c r="D673" s="15" t="str">
        <f aca="false">IF(ISNUMBER(MATCH(B673,Pages!$B$2:$B$98,0)),"Yes","Check")</f>
        <v>Yes</v>
      </c>
    </row>
    <row r="674" customFormat="false" ht="15" hidden="false" customHeight="false" outlineLevel="0" collapsed="false">
      <c r="A674" s="15" t="s">
        <v>549</v>
      </c>
      <c r="B674" s="15" t="s">
        <v>926</v>
      </c>
      <c r="C674" s="15" t="s">
        <v>1657</v>
      </c>
      <c r="D674" s="15" t="str">
        <f aca="false">IF(ISNUMBER(MATCH(B674,Pages!$B$2:$B$98,0)),"Yes","Check")</f>
        <v>Yes</v>
      </c>
    </row>
    <row r="675" customFormat="false" ht="15" hidden="false" customHeight="false" outlineLevel="0" collapsed="false">
      <c r="A675" s="15" t="s">
        <v>549</v>
      </c>
      <c r="B675" s="15" t="s">
        <v>116</v>
      </c>
      <c r="C675" s="15" t="s">
        <v>1483</v>
      </c>
      <c r="D675" s="15" t="str">
        <f aca="false">IF(ISNUMBER(MATCH(B675,Pages!$B$2:$B$98,0)),"Yes","Check")</f>
        <v>Yes</v>
      </c>
    </row>
    <row r="676" customFormat="false" ht="15" hidden="false" customHeight="false" outlineLevel="0" collapsed="false">
      <c r="A676" s="15" t="s">
        <v>557</v>
      </c>
      <c r="B676" s="15" t="s">
        <v>183</v>
      </c>
      <c r="C676" s="15" t="s">
        <v>1071</v>
      </c>
      <c r="D676" s="15" t="str">
        <f aca="false">IF(ISNUMBER(MATCH(B676,Pages!$B$2:$B$98,0)),"Yes","Check")</f>
        <v>Yes</v>
      </c>
    </row>
    <row r="677" customFormat="false" ht="15" hidden="false" customHeight="false" outlineLevel="0" collapsed="false">
      <c r="A677" s="15" t="s">
        <v>557</v>
      </c>
      <c r="B677" s="15" t="s">
        <v>705</v>
      </c>
      <c r="C677" s="15" t="s">
        <v>1783</v>
      </c>
      <c r="D677" s="15" t="str">
        <f aca="false">IF(ISNUMBER(MATCH(B677,Pages!$B$2:$B$98,0)),"Yes","Check")</f>
        <v>Yes</v>
      </c>
    </row>
    <row r="678" customFormat="false" ht="15" hidden="false" customHeight="false" outlineLevel="0" collapsed="false">
      <c r="A678" s="15" t="s">
        <v>557</v>
      </c>
      <c r="B678" s="15" t="s">
        <v>540</v>
      </c>
      <c r="C678" s="15" t="s">
        <v>1703</v>
      </c>
      <c r="D678" s="15" t="str">
        <f aca="false">IF(ISNUMBER(MATCH(B678,Pages!$B$2:$B$98,0)),"Yes","Check")</f>
        <v>Yes</v>
      </c>
    </row>
    <row r="679" customFormat="false" ht="15" hidden="false" customHeight="false" outlineLevel="0" collapsed="false">
      <c r="A679" s="15" t="s">
        <v>557</v>
      </c>
      <c r="B679" s="15" t="s">
        <v>881</v>
      </c>
      <c r="C679" s="15" t="s">
        <v>1784</v>
      </c>
      <c r="D679" s="15" t="str">
        <f aca="false">IF(ISNUMBER(MATCH(B679,Pages!$B$2:$B$98,0)),"Yes","Check")</f>
        <v>Yes</v>
      </c>
    </row>
    <row r="680" customFormat="false" ht="15" hidden="false" customHeight="false" outlineLevel="0" collapsed="false">
      <c r="A680" s="15" t="s">
        <v>557</v>
      </c>
      <c r="B680" s="15" t="s">
        <v>567</v>
      </c>
      <c r="C680" s="15" t="s">
        <v>1785</v>
      </c>
      <c r="D680" s="15" t="str">
        <f aca="false">IF(ISNUMBER(MATCH(B680,Pages!$B$2:$B$98,0)),"Yes","Check")</f>
        <v>Yes</v>
      </c>
    </row>
    <row r="681" customFormat="false" ht="15" hidden="false" customHeight="false" outlineLevel="0" collapsed="false">
      <c r="A681" s="15" t="s">
        <v>557</v>
      </c>
      <c r="B681" s="15" t="s">
        <v>257</v>
      </c>
      <c r="C681" s="15" t="s">
        <v>1786</v>
      </c>
      <c r="D681" s="15" t="str">
        <f aca="false">IF(ISNUMBER(MATCH(B681,Pages!$B$2:$B$98,0)),"Yes","Check")</f>
        <v>Yes</v>
      </c>
    </row>
    <row r="682" customFormat="false" ht="15" hidden="false" customHeight="false" outlineLevel="0" collapsed="false">
      <c r="A682" s="15" t="s">
        <v>557</v>
      </c>
      <c r="B682" s="15" t="s">
        <v>116</v>
      </c>
      <c r="C682" s="15" t="s">
        <v>1605</v>
      </c>
      <c r="D682" s="15" t="str">
        <f aca="false">IF(ISNUMBER(MATCH(B682,Pages!$B$2:$B$98,0)),"Yes","Check")</f>
        <v>Yes</v>
      </c>
    </row>
    <row r="683" customFormat="false" ht="15" hidden="false" customHeight="false" outlineLevel="0" collapsed="false">
      <c r="A683" s="15" t="s">
        <v>557</v>
      </c>
      <c r="B683" s="15" t="s">
        <v>257</v>
      </c>
      <c r="C683" s="15" t="s">
        <v>1763</v>
      </c>
      <c r="D683" s="15" t="str">
        <f aca="false">IF(ISNUMBER(MATCH(B683,Pages!$B$2:$B$98,0)),"Yes","Check")</f>
        <v>Yes</v>
      </c>
    </row>
    <row r="684" customFormat="false" ht="15" hidden="false" customHeight="false" outlineLevel="0" collapsed="false">
      <c r="A684" s="15" t="s">
        <v>557</v>
      </c>
      <c r="B684" s="15" t="s">
        <v>705</v>
      </c>
      <c r="C684" s="15" t="s">
        <v>1780</v>
      </c>
      <c r="D684" s="15" t="str">
        <f aca="false">IF(ISNUMBER(MATCH(B684,Pages!$B$2:$B$98,0)),"Yes","Check")</f>
        <v>Yes</v>
      </c>
    </row>
    <row r="685" customFormat="false" ht="15" hidden="false" customHeight="false" outlineLevel="0" collapsed="false">
      <c r="A685" s="15" t="s">
        <v>557</v>
      </c>
      <c r="B685" s="15" t="s">
        <v>116</v>
      </c>
      <c r="C685" s="15" t="s">
        <v>1483</v>
      </c>
      <c r="D685" s="15" t="str">
        <f aca="false">IF(ISNUMBER(MATCH(B685,Pages!$B$2:$B$98,0)),"Yes","Check")</f>
        <v>Yes</v>
      </c>
    </row>
    <row r="686" customFormat="false" ht="15" hidden="false" customHeight="false" outlineLevel="0" collapsed="false">
      <c r="A686" s="15" t="s">
        <v>567</v>
      </c>
      <c r="B686" s="15" t="s">
        <v>183</v>
      </c>
      <c r="C686" s="15" t="s">
        <v>1071</v>
      </c>
      <c r="D686" s="15" t="str">
        <f aca="false">IF(ISNUMBER(MATCH(B686,Pages!$B$2:$B$98,0)),"Yes","Check")</f>
        <v>Yes</v>
      </c>
    </row>
    <row r="687" customFormat="false" ht="15" hidden="false" customHeight="false" outlineLevel="0" collapsed="false">
      <c r="A687" s="15" t="s">
        <v>567</v>
      </c>
      <c r="B687" s="15" t="s">
        <v>713</v>
      </c>
      <c r="C687" s="15" t="s">
        <v>1787</v>
      </c>
      <c r="D687" s="15" t="str">
        <f aca="false">IF(ISNUMBER(MATCH(B687,Pages!$B$2:$B$98,0)),"Yes","Check")</f>
        <v>Yes</v>
      </c>
    </row>
    <row r="688" customFormat="false" ht="15" hidden="false" customHeight="false" outlineLevel="0" collapsed="false">
      <c r="A688" s="15" t="s">
        <v>567</v>
      </c>
      <c r="B688" s="15" t="s">
        <v>593</v>
      </c>
      <c r="C688" s="15" t="s">
        <v>1653</v>
      </c>
      <c r="D688" s="15" t="str">
        <f aca="false">IF(ISNUMBER(MATCH(B688,Pages!$B$2:$B$98,0)),"Yes","Check")</f>
        <v>Yes</v>
      </c>
    </row>
    <row r="689" customFormat="false" ht="15" hidden="false" customHeight="false" outlineLevel="0" collapsed="false">
      <c r="A689" s="15" t="s">
        <v>567</v>
      </c>
      <c r="B689" s="15" t="s">
        <v>557</v>
      </c>
      <c r="C689" s="15" t="s">
        <v>1788</v>
      </c>
      <c r="D689" s="15" t="str">
        <f aca="false">IF(ISNUMBER(MATCH(B689,Pages!$B$2:$B$98,0)),"Yes","Check")</f>
        <v>Yes</v>
      </c>
    </row>
    <row r="690" customFormat="false" ht="15" hidden="false" customHeight="false" outlineLevel="0" collapsed="false">
      <c r="A690" s="15" t="s">
        <v>567</v>
      </c>
      <c r="B690" s="15" t="s">
        <v>540</v>
      </c>
      <c r="C690" s="15" t="s">
        <v>1703</v>
      </c>
      <c r="D690" s="15" t="str">
        <f aca="false">IF(ISNUMBER(MATCH(B690,Pages!$B$2:$B$98,0)),"Yes","Check")</f>
        <v>Yes</v>
      </c>
    </row>
    <row r="691" customFormat="false" ht="15" hidden="false" customHeight="false" outlineLevel="0" collapsed="false">
      <c r="A691" s="15" t="s">
        <v>567</v>
      </c>
      <c r="B691" s="15" t="s">
        <v>195</v>
      </c>
      <c r="C691" s="15" t="s">
        <v>1789</v>
      </c>
      <c r="D691" s="15" t="str">
        <f aca="false">IF(ISNUMBER(MATCH(B691,Pages!$B$2:$B$98,0)),"Yes","Check")</f>
        <v>Yes</v>
      </c>
    </row>
    <row r="692" customFormat="false" ht="15" hidden="false" customHeight="false" outlineLevel="0" collapsed="false">
      <c r="A692" s="15" t="s">
        <v>567</v>
      </c>
      <c r="B692" s="15" t="s">
        <v>450</v>
      </c>
      <c r="C692" s="15" t="s">
        <v>1492</v>
      </c>
      <c r="D692" s="15" t="str">
        <f aca="false">IF(ISNUMBER(MATCH(B692,Pages!$B$2:$B$98,0)),"Yes","Check")</f>
        <v>Yes</v>
      </c>
    </row>
    <row r="693" customFormat="false" ht="15" hidden="false" customHeight="false" outlineLevel="0" collapsed="false">
      <c r="A693" s="15" t="s">
        <v>567</v>
      </c>
      <c r="B693" s="15" t="s">
        <v>257</v>
      </c>
      <c r="C693" s="15" t="s">
        <v>1786</v>
      </c>
      <c r="D693" s="15" t="str">
        <f aca="false">IF(ISNUMBER(MATCH(B693,Pages!$B$2:$B$98,0)),"Yes","Check")</f>
        <v>Yes</v>
      </c>
    </row>
    <row r="694" customFormat="false" ht="15" hidden="false" customHeight="false" outlineLevel="0" collapsed="false">
      <c r="A694" s="15" t="s">
        <v>567</v>
      </c>
      <c r="B694" s="15" t="s">
        <v>116</v>
      </c>
      <c r="C694" s="15" t="s">
        <v>1605</v>
      </c>
      <c r="D694" s="15" t="str">
        <f aca="false">IF(ISNUMBER(MATCH(B694,Pages!$B$2:$B$98,0)),"Yes","Check")</f>
        <v>Yes</v>
      </c>
    </row>
    <row r="695" customFormat="false" ht="15" hidden="false" customHeight="false" outlineLevel="0" collapsed="false">
      <c r="A695" s="15" t="s">
        <v>567</v>
      </c>
      <c r="B695" s="15" t="s">
        <v>257</v>
      </c>
      <c r="C695" s="15" t="s">
        <v>1763</v>
      </c>
      <c r="D695" s="15" t="str">
        <f aca="false">IF(ISNUMBER(MATCH(B695,Pages!$B$2:$B$98,0)),"Yes","Check")</f>
        <v>Yes</v>
      </c>
    </row>
    <row r="696" customFormat="false" ht="23.85" hidden="false" customHeight="false" outlineLevel="0" collapsed="false">
      <c r="A696" s="15" t="s">
        <v>567</v>
      </c>
      <c r="B696" s="15" t="s">
        <v>713</v>
      </c>
      <c r="C696" s="15" t="s">
        <v>1781</v>
      </c>
      <c r="D696" s="15" t="str">
        <f aca="false">IF(ISNUMBER(MATCH(B696,Pages!$B$2:$B$98,0)),"Yes","Check")</f>
        <v>Yes</v>
      </c>
    </row>
    <row r="697" customFormat="false" ht="15" hidden="false" customHeight="false" outlineLevel="0" collapsed="false">
      <c r="A697" s="15" t="s">
        <v>567</v>
      </c>
      <c r="B697" s="15" t="s">
        <v>116</v>
      </c>
      <c r="C697" s="15" t="s">
        <v>1483</v>
      </c>
      <c r="D697" s="15" t="str">
        <f aca="false">IF(ISNUMBER(MATCH(B697,Pages!$B$2:$B$98,0)),"Yes","Check")</f>
        <v>Yes</v>
      </c>
    </row>
    <row r="698" customFormat="false" ht="15" hidden="false" customHeight="false" outlineLevel="0" collapsed="false">
      <c r="A698" s="15" t="s">
        <v>576</v>
      </c>
      <c r="B698" s="15" t="s">
        <v>934</v>
      </c>
      <c r="C698" s="15" t="s">
        <v>1488</v>
      </c>
      <c r="D698" s="15" t="str">
        <f aca="false">IF(ISNUMBER(MATCH(B698,Pages!$B$2:$B$98,0)),"Yes","Check")</f>
        <v>Yes</v>
      </c>
    </row>
    <row r="699" customFormat="false" ht="15" hidden="false" customHeight="false" outlineLevel="0" collapsed="false">
      <c r="A699" s="15" t="s">
        <v>576</v>
      </c>
      <c r="B699" s="15" t="s">
        <v>183</v>
      </c>
      <c r="C699" s="15" t="s">
        <v>1487</v>
      </c>
      <c r="D699" s="15" t="str">
        <f aca="false">IF(ISNUMBER(MATCH(B699,Pages!$B$2:$B$98,0)),"Yes","Check")</f>
        <v>Yes</v>
      </c>
    </row>
    <row r="700" customFormat="false" ht="15" hidden="false" customHeight="false" outlineLevel="0" collapsed="false">
      <c r="A700" s="15" t="s">
        <v>576</v>
      </c>
      <c r="B700" s="15" t="s">
        <v>195</v>
      </c>
      <c r="C700" s="15" t="s">
        <v>1790</v>
      </c>
      <c r="D700" s="15" t="str">
        <f aca="false">IF(ISNUMBER(MATCH(B700,Pages!$B$2:$B$98,0)),"Yes","Check")</f>
        <v>Yes</v>
      </c>
    </row>
    <row r="701" customFormat="false" ht="15" hidden="false" customHeight="false" outlineLevel="0" collapsed="false">
      <c r="A701" s="15" t="s">
        <v>576</v>
      </c>
      <c r="B701" s="15" t="s">
        <v>468</v>
      </c>
      <c r="C701" s="15" t="s">
        <v>1601</v>
      </c>
      <c r="D701" s="15" t="str">
        <f aca="false">IF(ISNUMBER(MATCH(B701,Pages!$B$2:$B$98,0)),"Yes","Check")</f>
        <v>Yes</v>
      </c>
    </row>
    <row r="702" customFormat="false" ht="15" hidden="false" customHeight="false" outlineLevel="0" collapsed="false">
      <c r="A702" s="15" t="s">
        <v>576</v>
      </c>
      <c r="B702" s="15" t="s">
        <v>881</v>
      </c>
      <c r="C702" s="15" t="s">
        <v>1503</v>
      </c>
      <c r="D702" s="15" t="str">
        <f aca="false">IF(ISNUMBER(MATCH(B702,Pages!$B$2:$B$98,0)),"Yes","Check")</f>
        <v>Yes</v>
      </c>
    </row>
    <row r="703" customFormat="false" ht="15" hidden="false" customHeight="false" outlineLevel="0" collapsed="false">
      <c r="A703" s="15" t="s">
        <v>576</v>
      </c>
      <c r="B703" s="15" t="s">
        <v>125</v>
      </c>
      <c r="C703" s="15" t="s">
        <v>1734</v>
      </c>
      <c r="D703" s="15" t="str">
        <f aca="false">IF(ISNUMBER(MATCH(B703,Pages!$B$2:$B$98,0)),"Yes","Check")</f>
        <v>Yes</v>
      </c>
    </row>
    <row r="704" customFormat="false" ht="15" hidden="false" customHeight="false" outlineLevel="0" collapsed="false">
      <c r="A704" s="15" t="s">
        <v>576</v>
      </c>
      <c r="B704" s="15" t="s">
        <v>748</v>
      </c>
      <c r="C704" s="15" t="s">
        <v>1654</v>
      </c>
      <c r="D704" s="15" t="str">
        <f aca="false">IF(ISNUMBER(MATCH(B704,Pages!$B$2:$B$98,0)),"Yes","Check")</f>
        <v>Yes</v>
      </c>
    </row>
    <row r="705" customFormat="false" ht="15" hidden="false" customHeight="false" outlineLevel="0" collapsed="false">
      <c r="A705" s="15" t="s">
        <v>576</v>
      </c>
      <c r="B705" s="15" t="s">
        <v>792</v>
      </c>
      <c r="C705" s="15" t="s">
        <v>1494</v>
      </c>
      <c r="D705" s="15" t="str">
        <f aca="false">IF(ISNUMBER(MATCH(B705,Pages!$B$2:$B$98,0)),"Yes","Check")</f>
        <v>Yes</v>
      </c>
    </row>
    <row r="706" customFormat="false" ht="15" hidden="false" customHeight="false" outlineLevel="0" collapsed="false">
      <c r="A706" s="15" t="s">
        <v>576</v>
      </c>
      <c r="B706" s="15" t="s">
        <v>116</v>
      </c>
      <c r="C706" s="15" t="s">
        <v>1605</v>
      </c>
      <c r="D706" s="15" t="str">
        <f aca="false">IF(ISNUMBER(MATCH(B706,Pages!$B$2:$B$98,0)),"Yes","Check")</f>
        <v>Yes</v>
      </c>
    </row>
    <row r="707" customFormat="false" ht="23.85" hidden="false" customHeight="false" outlineLevel="0" collapsed="false">
      <c r="A707" s="15" t="s">
        <v>576</v>
      </c>
      <c r="B707" s="15" t="s">
        <v>183</v>
      </c>
      <c r="C707" s="15" t="s">
        <v>1791</v>
      </c>
      <c r="D707" s="15" t="str">
        <f aca="false">IF(ISNUMBER(MATCH(B707,Pages!$B$2:$B$98,0)),"Yes","Check")</f>
        <v>Yes</v>
      </c>
    </row>
    <row r="708" customFormat="false" ht="23.85" hidden="false" customHeight="false" outlineLevel="0" collapsed="false">
      <c r="A708" s="15" t="s">
        <v>576</v>
      </c>
      <c r="B708" s="15" t="s">
        <v>468</v>
      </c>
      <c r="C708" s="15" t="s">
        <v>1792</v>
      </c>
      <c r="D708" s="15" t="str">
        <f aca="false">IF(ISNUMBER(MATCH(B708,Pages!$B$2:$B$98,0)),"Yes","Check")</f>
        <v>Yes</v>
      </c>
    </row>
    <row r="709" customFormat="false" ht="15" hidden="false" customHeight="false" outlineLevel="0" collapsed="false">
      <c r="A709" s="15" t="s">
        <v>576</v>
      </c>
      <c r="B709" s="15" t="s">
        <v>748</v>
      </c>
      <c r="C709" s="15" t="s">
        <v>1616</v>
      </c>
      <c r="D709" s="15" t="str">
        <f aca="false">IF(ISNUMBER(MATCH(B709,Pages!$B$2:$B$98,0)),"Yes","Check")</f>
        <v>Yes</v>
      </c>
    </row>
    <row r="710" customFormat="false" ht="15" hidden="false" customHeight="false" outlineLevel="0" collapsed="false">
      <c r="A710" s="15" t="s">
        <v>576</v>
      </c>
      <c r="B710" s="15" t="s">
        <v>792</v>
      </c>
      <c r="C710" s="15" t="s">
        <v>1626</v>
      </c>
      <c r="D710" s="15" t="str">
        <f aca="false">IF(ISNUMBER(MATCH(B710,Pages!$B$2:$B$98,0)),"Yes","Check")</f>
        <v>Yes</v>
      </c>
    </row>
    <row r="711" customFormat="false" ht="15" hidden="false" customHeight="false" outlineLevel="0" collapsed="false">
      <c r="A711" s="15" t="s">
        <v>576</v>
      </c>
      <c r="B711" s="15" t="s">
        <v>934</v>
      </c>
      <c r="C711" s="15" t="s">
        <v>1617</v>
      </c>
      <c r="D711" s="15" t="str">
        <f aca="false">IF(ISNUMBER(MATCH(B711,Pages!$B$2:$B$98,0)),"Yes","Check")</f>
        <v>Yes</v>
      </c>
    </row>
    <row r="712" customFormat="false" ht="15" hidden="false" customHeight="false" outlineLevel="0" collapsed="false">
      <c r="A712" s="15" t="s">
        <v>576</v>
      </c>
      <c r="B712" s="15" t="s">
        <v>116</v>
      </c>
      <c r="C712" s="15" t="s">
        <v>1483</v>
      </c>
      <c r="D712" s="15" t="str">
        <f aca="false">IF(ISNUMBER(MATCH(B712,Pages!$B$2:$B$98,0)),"Yes","Check")</f>
        <v>Yes</v>
      </c>
    </row>
    <row r="713" customFormat="false" ht="15" hidden="false" customHeight="false" outlineLevel="0" collapsed="false">
      <c r="A713" s="15" t="s">
        <v>585</v>
      </c>
      <c r="B713" s="15" t="s">
        <v>183</v>
      </c>
      <c r="C713" s="15" t="s">
        <v>1487</v>
      </c>
      <c r="D713" s="15" t="str">
        <f aca="false">IF(ISNUMBER(MATCH(B713,Pages!$B$2:$B$98,0)),"Yes","Check")</f>
        <v>Yes</v>
      </c>
    </row>
    <row r="714" customFormat="false" ht="15" hidden="false" customHeight="false" outlineLevel="0" collapsed="false">
      <c r="A714" s="15" t="s">
        <v>585</v>
      </c>
      <c r="B714" s="15" t="s">
        <v>522</v>
      </c>
      <c r="C714" s="15" t="s">
        <v>1718</v>
      </c>
      <c r="D714" s="15" t="str">
        <f aca="false">IF(ISNUMBER(MATCH(B714,Pages!$B$2:$B$98,0)),"Yes","Check")</f>
        <v>Yes</v>
      </c>
    </row>
    <row r="715" customFormat="false" ht="15" hidden="false" customHeight="false" outlineLevel="0" collapsed="false">
      <c r="A715" s="15" t="s">
        <v>585</v>
      </c>
      <c r="B715" s="15" t="s">
        <v>450</v>
      </c>
      <c r="C715" s="15" t="s">
        <v>1793</v>
      </c>
      <c r="D715" s="15" t="str">
        <f aca="false">IF(ISNUMBER(MATCH(B715,Pages!$B$2:$B$98,0)),"Yes","Check")</f>
        <v>Yes</v>
      </c>
    </row>
    <row r="716" customFormat="false" ht="15" hidden="false" customHeight="false" outlineLevel="0" collapsed="false">
      <c r="A716" s="15" t="s">
        <v>585</v>
      </c>
      <c r="B716" s="15" t="s">
        <v>748</v>
      </c>
      <c r="C716" s="15" t="s">
        <v>1654</v>
      </c>
      <c r="D716" s="15" t="str">
        <f aca="false">IF(ISNUMBER(MATCH(B716,Pages!$B$2:$B$98,0)),"Yes","Check")</f>
        <v>Yes</v>
      </c>
    </row>
    <row r="717" customFormat="false" ht="15" hidden="false" customHeight="false" outlineLevel="0" collapsed="false">
      <c r="A717" s="15" t="s">
        <v>585</v>
      </c>
      <c r="B717" s="15" t="s">
        <v>881</v>
      </c>
      <c r="C717" s="15" t="s">
        <v>1503</v>
      </c>
      <c r="D717" s="15" t="str">
        <f aca="false">IF(ISNUMBER(MATCH(B717,Pages!$B$2:$B$98,0)),"Yes","Check")</f>
        <v>Yes</v>
      </c>
    </row>
    <row r="718" customFormat="false" ht="15" hidden="false" customHeight="false" outlineLevel="0" collapsed="false">
      <c r="A718" s="15" t="s">
        <v>585</v>
      </c>
      <c r="B718" s="15" t="s">
        <v>267</v>
      </c>
      <c r="C718" s="15" t="s">
        <v>1628</v>
      </c>
      <c r="D718" s="15" t="str">
        <f aca="false">IF(ISNUMBER(MATCH(B718,Pages!$B$2:$B$98,0)),"Yes","Check")</f>
        <v>Yes</v>
      </c>
    </row>
    <row r="719" customFormat="false" ht="15" hidden="false" customHeight="false" outlineLevel="0" collapsed="false">
      <c r="A719" s="15" t="s">
        <v>585</v>
      </c>
      <c r="B719" s="15" t="s">
        <v>952</v>
      </c>
      <c r="C719" s="15" t="s">
        <v>1794</v>
      </c>
      <c r="D719" s="15" t="str">
        <f aca="false">IF(ISNUMBER(MATCH(B719,Pages!$B$2:$B$98,0)),"Yes","Check")</f>
        <v>Yes</v>
      </c>
    </row>
    <row r="720" customFormat="false" ht="15" hidden="false" customHeight="false" outlineLevel="0" collapsed="false">
      <c r="A720" s="15" t="s">
        <v>585</v>
      </c>
      <c r="B720" s="15" t="s">
        <v>116</v>
      </c>
      <c r="C720" s="15" t="s">
        <v>1605</v>
      </c>
      <c r="D720" s="15" t="str">
        <f aca="false">IF(ISNUMBER(MATCH(B720,Pages!$B$2:$B$98,0)),"Yes","Check")</f>
        <v>Yes</v>
      </c>
    </row>
    <row r="721" customFormat="false" ht="15" hidden="false" customHeight="false" outlineLevel="0" collapsed="false">
      <c r="A721" s="15" t="s">
        <v>585</v>
      </c>
      <c r="B721" s="15" t="s">
        <v>450</v>
      </c>
      <c r="C721" s="15" t="s">
        <v>1630</v>
      </c>
      <c r="D721" s="15" t="str">
        <f aca="false">IF(ISNUMBER(MATCH(B721,Pages!$B$2:$B$98,0)),"Yes","Check")</f>
        <v>Yes</v>
      </c>
    </row>
    <row r="722" customFormat="false" ht="23.85" hidden="false" customHeight="false" outlineLevel="0" collapsed="false">
      <c r="A722" s="15" t="s">
        <v>585</v>
      </c>
      <c r="B722" s="15" t="s">
        <v>522</v>
      </c>
      <c r="C722" s="15" t="s">
        <v>1720</v>
      </c>
      <c r="D722" s="15" t="str">
        <f aca="false">IF(ISNUMBER(MATCH(B722,Pages!$B$2:$B$98,0)),"Yes","Check")</f>
        <v>Yes</v>
      </c>
    </row>
    <row r="723" customFormat="false" ht="15" hidden="false" customHeight="false" outlineLevel="0" collapsed="false">
      <c r="A723" s="15" t="s">
        <v>585</v>
      </c>
      <c r="B723" s="15" t="s">
        <v>748</v>
      </c>
      <c r="C723" s="15" t="s">
        <v>1616</v>
      </c>
      <c r="D723" s="15" t="str">
        <f aca="false">IF(ISNUMBER(MATCH(B723,Pages!$B$2:$B$98,0)),"Yes","Check")</f>
        <v>Yes</v>
      </c>
    </row>
    <row r="724" customFormat="false" ht="15" hidden="false" customHeight="false" outlineLevel="0" collapsed="false">
      <c r="A724" s="15" t="s">
        <v>585</v>
      </c>
      <c r="B724" s="15" t="s">
        <v>881</v>
      </c>
      <c r="C724" s="15" t="s">
        <v>1690</v>
      </c>
      <c r="D724" s="15" t="str">
        <f aca="false">IF(ISNUMBER(MATCH(B724,Pages!$B$2:$B$98,0)),"Yes","Check")</f>
        <v>Yes</v>
      </c>
    </row>
    <row r="725" customFormat="false" ht="15" hidden="false" customHeight="false" outlineLevel="0" collapsed="false">
      <c r="A725" s="15" t="s">
        <v>585</v>
      </c>
      <c r="B725" s="15" t="s">
        <v>116</v>
      </c>
      <c r="C725" s="15" t="s">
        <v>1483</v>
      </c>
      <c r="D725" s="15" t="str">
        <f aca="false">IF(ISNUMBER(MATCH(B725,Pages!$B$2:$B$98,0)),"Yes","Check")</f>
        <v>Yes</v>
      </c>
    </row>
    <row r="726" customFormat="false" ht="15" hidden="false" customHeight="false" outlineLevel="0" collapsed="false">
      <c r="A726" s="15" t="s">
        <v>593</v>
      </c>
      <c r="B726" s="15" t="s">
        <v>908</v>
      </c>
      <c r="C726" s="15" t="s">
        <v>1795</v>
      </c>
      <c r="D726" s="15" t="str">
        <f aca="false">IF(ISNUMBER(MATCH(B726,Pages!$B$2:$B$98,0)),"Yes","Check")</f>
        <v>Yes</v>
      </c>
    </row>
    <row r="727" customFormat="false" ht="15" hidden="false" customHeight="false" outlineLevel="0" collapsed="false">
      <c r="A727" s="15" t="s">
        <v>593</v>
      </c>
      <c r="B727" s="15" t="s">
        <v>125</v>
      </c>
      <c r="C727" s="15" t="s">
        <v>1021</v>
      </c>
      <c r="D727" s="15" t="str">
        <f aca="false">IF(ISNUMBER(MATCH(B727,Pages!$B$2:$B$98,0)),"Yes","Check")</f>
        <v>Yes</v>
      </c>
    </row>
    <row r="728" customFormat="false" ht="15" hidden="false" customHeight="false" outlineLevel="0" collapsed="false">
      <c r="A728" s="15" t="s">
        <v>593</v>
      </c>
      <c r="B728" s="15" t="s">
        <v>731</v>
      </c>
      <c r="C728" s="15" t="s">
        <v>1796</v>
      </c>
      <c r="D728" s="15" t="str">
        <f aca="false">IF(ISNUMBER(MATCH(B728,Pages!$B$2:$B$98,0)),"Yes","Check")</f>
        <v>Yes</v>
      </c>
    </row>
    <row r="729" customFormat="false" ht="15" hidden="false" customHeight="false" outlineLevel="0" collapsed="false">
      <c r="A729" s="15" t="s">
        <v>593</v>
      </c>
      <c r="B729" s="15" t="s">
        <v>810</v>
      </c>
      <c r="C729" s="15" t="s">
        <v>1797</v>
      </c>
      <c r="D729" s="15" t="str">
        <f aca="false">IF(ISNUMBER(MATCH(B729,Pages!$B$2:$B$98,0)),"Yes","Check")</f>
        <v>Yes</v>
      </c>
    </row>
    <row r="730" customFormat="false" ht="15" hidden="false" customHeight="false" outlineLevel="0" collapsed="false">
      <c r="A730" s="15" t="s">
        <v>593</v>
      </c>
      <c r="B730" s="15" t="s">
        <v>602</v>
      </c>
      <c r="C730" s="15" t="s">
        <v>1798</v>
      </c>
      <c r="D730" s="15" t="str">
        <f aca="false">IF(ISNUMBER(MATCH(B730,Pages!$B$2:$B$98,0)),"Yes","Check")</f>
        <v>Yes</v>
      </c>
    </row>
    <row r="731" customFormat="false" ht="15" hidden="false" customHeight="false" outlineLevel="0" collapsed="false">
      <c r="A731" s="15" t="s">
        <v>593</v>
      </c>
      <c r="B731" s="15" t="s">
        <v>611</v>
      </c>
      <c r="C731" s="15" t="s">
        <v>1799</v>
      </c>
      <c r="D731" s="15" t="str">
        <f aca="false">IF(ISNUMBER(MATCH(B731,Pages!$B$2:$B$98,0)),"Yes","Check")</f>
        <v>Yes</v>
      </c>
    </row>
    <row r="732" customFormat="false" ht="15" hidden="false" customHeight="false" outlineLevel="0" collapsed="false">
      <c r="A732" s="15" t="s">
        <v>593</v>
      </c>
      <c r="B732" s="15" t="s">
        <v>257</v>
      </c>
      <c r="C732" s="15" t="s">
        <v>1800</v>
      </c>
      <c r="D732" s="15" t="str">
        <f aca="false">IF(ISNUMBER(MATCH(B732,Pages!$B$2:$B$98,0)),"Yes","Check")</f>
        <v>Yes</v>
      </c>
    </row>
    <row r="733" customFormat="false" ht="15" hidden="false" customHeight="false" outlineLevel="0" collapsed="false">
      <c r="A733" s="15" t="s">
        <v>593</v>
      </c>
      <c r="B733" s="15" t="s">
        <v>183</v>
      </c>
      <c r="C733" s="15" t="s">
        <v>1506</v>
      </c>
      <c r="D733" s="15" t="str">
        <f aca="false">IF(ISNUMBER(MATCH(B733,Pages!$B$2:$B$98,0)),"Yes","Check")</f>
        <v>Yes</v>
      </c>
    </row>
    <row r="734" customFormat="false" ht="15" hidden="false" customHeight="false" outlineLevel="0" collapsed="false">
      <c r="A734" s="15" t="s">
        <v>593</v>
      </c>
      <c r="B734" s="15" t="s">
        <v>116</v>
      </c>
      <c r="C734" s="15" t="s">
        <v>1605</v>
      </c>
      <c r="D734" s="15" t="str">
        <f aca="false">IF(ISNUMBER(MATCH(B734,Pages!$B$2:$B$98,0)),"Yes","Check")</f>
        <v>Yes</v>
      </c>
    </row>
    <row r="735" customFormat="false" ht="15" hidden="false" customHeight="false" outlineLevel="0" collapsed="false">
      <c r="A735" s="15" t="s">
        <v>593</v>
      </c>
      <c r="B735" s="15" t="s">
        <v>257</v>
      </c>
      <c r="C735" s="15" t="s">
        <v>1763</v>
      </c>
      <c r="D735" s="15" t="str">
        <f aca="false">IF(ISNUMBER(MATCH(B735,Pages!$B$2:$B$98,0)),"Yes","Check")</f>
        <v>Yes</v>
      </c>
    </row>
    <row r="736" customFormat="false" ht="15" hidden="false" customHeight="false" outlineLevel="0" collapsed="false">
      <c r="A736" s="15" t="s">
        <v>593</v>
      </c>
      <c r="B736" s="15" t="s">
        <v>602</v>
      </c>
      <c r="C736" s="15" t="s">
        <v>1801</v>
      </c>
      <c r="D736" s="15" t="str">
        <f aca="false">IF(ISNUMBER(MATCH(B736,Pages!$B$2:$B$98,0)),"Yes","Check")</f>
        <v>Yes</v>
      </c>
    </row>
    <row r="737" customFormat="false" ht="15" hidden="false" customHeight="false" outlineLevel="0" collapsed="false">
      <c r="A737" s="15" t="s">
        <v>593</v>
      </c>
      <c r="B737" s="15" t="s">
        <v>731</v>
      </c>
      <c r="C737" s="15" t="s">
        <v>1802</v>
      </c>
      <c r="D737" s="15" t="str">
        <f aca="false">IF(ISNUMBER(MATCH(B737,Pages!$B$2:$B$98,0)),"Yes","Check")</f>
        <v>Yes</v>
      </c>
    </row>
    <row r="738" customFormat="false" ht="15" hidden="false" customHeight="false" outlineLevel="0" collapsed="false">
      <c r="A738" s="15" t="s">
        <v>593</v>
      </c>
      <c r="B738" s="15" t="s">
        <v>810</v>
      </c>
      <c r="C738" s="15" t="s">
        <v>1640</v>
      </c>
      <c r="D738" s="15" t="str">
        <f aca="false">IF(ISNUMBER(MATCH(B738,Pages!$B$2:$B$98,0)),"Yes","Check")</f>
        <v>Yes</v>
      </c>
    </row>
    <row r="739" customFormat="false" ht="15" hidden="false" customHeight="false" outlineLevel="0" collapsed="false">
      <c r="A739" s="15" t="s">
        <v>593</v>
      </c>
      <c r="B739" s="15" t="s">
        <v>116</v>
      </c>
      <c r="C739" s="15" t="s">
        <v>1483</v>
      </c>
      <c r="D739" s="15" t="str">
        <f aca="false">IF(ISNUMBER(MATCH(B739,Pages!$B$2:$B$98,0)),"Yes","Check")</f>
        <v>Yes</v>
      </c>
    </row>
    <row r="740" customFormat="false" ht="15" hidden="false" customHeight="false" outlineLevel="0" collapsed="false">
      <c r="A740" s="15" t="s">
        <v>602</v>
      </c>
      <c r="B740" s="15" t="s">
        <v>593</v>
      </c>
      <c r="C740" s="15" t="s">
        <v>1653</v>
      </c>
      <c r="D740" s="15" t="str">
        <f aca="false">IF(ISNUMBER(MATCH(B740,Pages!$B$2:$B$98,0)),"Yes","Check")</f>
        <v>Yes</v>
      </c>
    </row>
    <row r="741" customFormat="false" ht="15" hidden="false" customHeight="false" outlineLevel="0" collapsed="false">
      <c r="A741" s="15" t="s">
        <v>602</v>
      </c>
      <c r="B741" s="15" t="s">
        <v>183</v>
      </c>
      <c r="C741" s="15" t="s">
        <v>1071</v>
      </c>
      <c r="D741" s="15" t="str">
        <f aca="false">IF(ISNUMBER(MATCH(B741,Pages!$B$2:$B$98,0)),"Yes","Check")</f>
        <v>Yes</v>
      </c>
    </row>
    <row r="742" customFormat="false" ht="15" hidden="false" customHeight="false" outlineLevel="0" collapsed="false">
      <c r="A742" s="15" t="s">
        <v>602</v>
      </c>
      <c r="B742" s="15" t="s">
        <v>304</v>
      </c>
      <c r="C742" s="15" t="s">
        <v>1803</v>
      </c>
      <c r="D742" s="15" t="str">
        <f aca="false">IF(ISNUMBER(MATCH(B742,Pages!$B$2:$B$98,0)),"Yes","Check")</f>
        <v>Yes</v>
      </c>
    </row>
    <row r="743" customFormat="false" ht="15" hidden="false" customHeight="false" outlineLevel="0" collapsed="false">
      <c r="A743" s="15" t="s">
        <v>602</v>
      </c>
      <c r="B743" s="15" t="s">
        <v>459</v>
      </c>
      <c r="C743" s="15" t="s">
        <v>1804</v>
      </c>
      <c r="D743" s="15" t="str">
        <f aca="false">IF(ISNUMBER(MATCH(B743,Pages!$B$2:$B$98,0)),"Yes","Check")</f>
        <v>Yes</v>
      </c>
    </row>
    <row r="744" customFormat="false" ht="15" hidden="false" customHeight="false" outlineLevel="0" collapsed="false">
      <c r="A744" s="15" t="s">
        <v>602</v>
      </c>
      <c r="B744" s="15" t="s">
        <v>679</v>
      </c>
      <c r="C744" s="15" t="s">
        <v>1652</v>
      </c>
      <c r="D744" s="15" t="str">
        <f aca="false">IF(ISNUMBER(MATCH(B744,Pages!$B$2:$B$98,0)),"Yes","Check")</f>
        <v>Yes</v>
      </c>
    </row>
    <row r="745" customFormat="false" ht="15" hidden="false" customHeight="false" outlineLevel="0" collapsed="false">
      <c r="A745" s="15" t="s">
        <v>602</v>
      </c>
      <c r="B745" s="15" t="s">
        <v>257</v>
      </c>
      <c r="C745" s="15" t="s">
        <v>1800</v>
      </c>
      <c r="D745" s="15" t="str">
        <f aca="false">IF(ISNUMBER(MATCH(B745,Pages!$B$2:$B$98,0)),"Yes","Check")</f>
        <v>Yes</v>
      </c>
    </row>
    <row r="746" customFormat="false" ht="15" hidden="false" customHeight="false" outlineLevel="0" collapsed="false">
      <c r="A746" s="15" t="s">
        <v>602</v>
      </c>
      <c r="B746" s="15" t="s">
        <v>792</v>
      </c>
      <c r="C746" s="15" t="s">
        <v>1494</v>
      </c>
      <c r="D746" s="15" t="str">
        <f aca="false">IF(ISNUMBER(MATCH(B746,Pages!$B$2:$B$98,0)),"Yes","Check")</f>
        <v>Yes</v>
      </c>
    </row>
    <row r="747" customFormat="false" ht="15" hidden="false" customHeight="false" outlineLevel="0" collapsed="false">
      <c r="A747" s="15" t="s">
        <v>602</v>
      </c>
      <c r="B747" s="15" t="s">
        <v>116</v>
      </c>
      <c r="C747" s="15" t="s">
        <v>1605</v>
      </c>
      <c r="D747" s="15" t="str">
        <f aca="false">IF(ISNUMBER(MATCH(B747,Pages!$B$2:$B$98,0)),"Yes","Check")</f>
        <v>Yes</v>
      </c>
    </row>
    <row r="748" customFormat="false" ht="15" hidden="false" customHeight="false" outlineLevel="0" collapsed="false">
      <c r="A748" s="15" t="s">
        <v>602</v>
      </c>
      <c r="B748" s="15" t="s">
        <v>257</v>
      </c>
      <c r="C748" s="15" t="s">
        <v>1763</v>
      </c>
      <c r="D748" s="15" t="str">
        <f aca="false">IF(ISNUMBER(MATCH(B748,Pages!$B$2:$B$98,0)),"Yes","Check")</f>
        <v>Yes</v>
      </c>
    </row>
    <row r="749" customFormat="false" ht="15" hidden="false" customHeight="false" outlineLevel="0" collapsed="false">
      <c r="A749" s="15" t="s">
        <v>602</v>
      </c>
      <c r="B749" s="15" t="s">
        <v>593</v>
      </c>
      <c r="C749" s="15" t="s">
        <v>1805</v>
      </c>
      <c r="D749" s="15" t="str">
        <f aca="false">IF(ISNUMBER(MATCH(B749,Pages!$B$2:$B$98,0)),"Yes","Check")</f>
        <v>Yes</v>
      </c>
    </row>
    <row r="750" customFormat="false" ht="15" hidden="false" customHeight="false" outlineLevel="0" collapsed="false">
      <c r="A750" s="15" t="s">
        <v>602</v>
      </c>
      <c r="B750" s="15" t="s">
        <v>679</v>
      </c>
      <c r="C750" s="15" t="s">
        <v>1656</v>
      </c>
      <c r="D750" s="15" t="str">
        <f aca="false">IF(ISNUMBER(MATCH(B750,Pages!$B$2:$B$98,0)),"Yes","Check")</f>
        <v>Yes</v>
      </c>
    </row>
    <row r="751" customFormat="false" ht="15" hidden="false" customHeight="false" outlineLevel="0" collapsed="false">
      <c r="A751" s="15" t="s">
        <v>602</v>
      </c>
      <c r="B751" s="15" t="s">
        <v>116</v>
      </c>
      <c r="C751" s="15" t="s">
        <v>1483</v>
      </c>
      <c r="D751" s="15" t="str">
        <f aca="false">IF(ISNUMBER(MATCH(B751,Pages!$B$2:$B$98,0)),"Yes","Check")</f>
        <v>Yes</v>
      </c>
    </row>
    <row r="752" customFormat="false" ht="15" hidden="false" customHeight="false" outlineLevel="0" collapsed="false">
      <c r="A752" s="15" t="s">
        <v>611</v>
      </c>
      <c r="B752" s="15" t="s">
        <v>593</v>
      </c>
      <c r="C752" s="15" t="s">
        <v>1653</v>
      </c>
      <c r="D752" s="15" t="str">
        <f aca="false">IF(ISNUMBER(MATCH(B752,Pages!$B$2:$B$98,0)),"Yes","Check")</f>
        <v>Yes</v>
      </c>
    </row>
    <row r="753" customFormat="false" ht="15" hidden="false" customHeight="false" outlineLevel="0" collapsed="false">
      <c r="A753" s="15" t="s">
        <v>611</v>
      </c>
      <c r="B753" s="15" t="s">
        <v>183</v>
      </c>
      <c r="C753" s="15" t="s">
        <v>1071</v>
      </c>
      <c r="D753" s="15" t="str">
        <f aca="false">IF(ISNUMBER(MATCH(B753,Pages!$B$2:$B$98,0)),"Yes","Check")</f>
        <v>Yes</v>
      </c>
    </row>
    <row r="754" customFormat="false" ht="15" hidden="false" customHeight="false" outlineLevel="0" collapsed="false">
      <c r="A754" s="15" t="s">
        <v>611</v>
      </c>
      <c r="B754" s="15" t="s">
        <v>810</v>
      </c>
      <c r="C754" s="15" t="s">
        <v>1678</v>
      </c>
      <c r="D754" s="15" t="str">
        <f aca="false">IF(ISNUMBER(MATCH(B754,Pages!$B$2:$B$98,0)),"Yes","Check")</f>
        <v>Yes</v>
      </c>
    </row>
    <row r="755" customFormat="false" ht="15" hidden="false" customHeight="false" outlineLevel="0" collapsed="false">
      <c r="A755" s="15" t="s">
        <v>611</v>
      </c>
      <c r="B755" s="15" t="s">
        <v>731</v>
      </c>
      <c r="C755" s="15" t="s">
        <v>1806</v>
      </c>
      <c r="D755" s="15" t="str">
        <f aca="false">IF(ISNUMBER(MATCH(B755,Pages!$B$2:$B$98,0)),"Yes","Check")</f>
        <v>Yes</v>
      </c>
    </row>
    <row r="756" customFormat="false" ht="15" hidden="false" customHeight="false" outlineLevel="0" collapsed="false">
      <c r="A756" s="15" t="s">
        <v>611</v>
      </c>
      <c r="B756" s="15" t="s">
        <v>638</v>
      </c>
      <c r="C756" s="15" t="s">
        <v>1807</v>
      </c>
      <c r="D756" s="15" t="str">
        <f aca="false">IF(ISNUMBER(MATCH(B756,Pages!$B$2:$B$98,0)),"Yes","Check")</f>
        <v>Yes</v>
      </c>
    </row>
    <row r="757" customFormat="false" ht="15" hidden="false" customHeight="false" outlineLevel="0" collapsed="false">
      <c r="A757" s="15" t="s">
        <v>611</v>
      </c>
      <c r="B757" s="15" t="s">
        <v>967</v>
      </c>
      <c r="C757" s="15" t="s">
        <v>1706</v>
      </c>
      <c r="D757" s="15" t="str">
        <f aca="false">IF(ISNUMBER(MATCH(B757,Pages!$B$2:$B$98,0)),"Yes","Check")</f>
        <v>Yes</v>
      </c>
    </row>
    <row r="758" customFormat="false" ht="15" hidden="false" customHeight="false" outlineLevel="0" collapsed="false">
      <c r="A758" s="15" t="s">
        <v>611</v>
      </c>
      <c r="B758" s="15" t="s">
        <v>116</v>
      </c>
      <c r="C758" s="15" t="s">
        <v>1605</v>
      </c>
      <c r="D758" s="15" t="str">
        <f aca="false">IF(ISNUMBER(MATCH(B758,Pages!$B$2:$B$98,0)),"Yes","Check")</f>
        <v>Yes</v>
      </c>
    </row>
    <row r="759" customFormat="false" ht="15" hidden="false" customHeight="false" outlineLevel="0" collapsed="false">
      <c r="A759" s="15" t="s">
        <v>611</v>
      </c>
      <c r="B759" s="15" t="s">
        <v>593</v>
      </c>
      <c r="C759" s="15" t="s">
        <v>1805</v>
      </c>
      <c r="D759" s="15" t="str">
        <f aca="false">IF(ISNUMBER(MATCH(B759,Pages!$B$2:$B$98,0)),"Yes","Check")</f>
        <v>Yes</v>
      </c>
    </row>
    <row r="760" customFormat="false" ht="15" hidden="false" customHeight="false" outlineLevel="0" collapsed="false">
      <c r="A760" s="15" t="s">
        <v>611</v>
      </c>
      <c r="B760" s="15" t="s">
        <v>731</v>
      </c>
      <c r="C760" s="15" t="s">
        <v>1802</v>
      </c>
      <c r="D760" s="15" t="str">
        <f aca="false">IF(ISNUMBER(MATCH(B760,Pages!$B$2:$B$98,0)),"Yes","Check")</f>
        <v>Yes</v>
      </c>
    </row>
    <row r="761" customFormat="false" ht="15" hidden="false" customHeight="false" outlineLevel="0" collapsed="false">
      <c r="A761" s="15" t="s">
        <v>611</v>
      </c>
      <c r="B761" s="15" t="s">
        <v>116</v>
      </c>
      <c r="C761" s="15" t="s">
        <v>1483</v>
      </c>
      <c r="D761" s="15" t="str">
        <f aca="false">IF(ISNUMBER(MATCH(B761,Pages!$B$2:$B$98,0)),"Yes","Check")</f>
        <v>Yes</v>
      </c>
    </row>
    <row r="762" customFormat="false" ht="15" hidden="false" customHeight="false" outlineLevel="0" collapsed="false">
      <c r="A762" s="15" t="s">
        <v>620</v>
      </c>
      <c r="B762" s="15" t="s">
        <v>522</v>
      </c>
      <c r="C762" s="15" t="s">
        <v>1718</v>
      </c>
      <c r="D762" s="15" t="str">
        <f aca="false">IF(ISNUMBER(MATCH(B762,Pages!$B$2:$B$98,0)),"Yes","Check")</f>
        <v>Yes</v>
      </c>
    </row>
    <row r="763" customFormat="false" ht="15" hidden="false" customHeight="false" outlineLevel="0" collapsed="false">
      <c r="A763" s="15" t="s">
        <v>620</v>
      </c>
      <c r="B763" s="15" t="s">
        <v>450</v>
      </c>
      <c r="C763" s="15" t="s">
        <v>1492</v>
      </c>
      <c r="D763" s="15" t="str">
        <f aca="false">IF(ISNUMBER(MATCH(B763,Pages!$B$2:$B$98,0)),"Yes","Check")</f>
        <v>Yes</v>
      </c>
    </row>
    <row r="764" customFormat="false" ht="15" hidden="false" customHeight="false" outlineLevel="0" collapsed="false">
      <c r="A764" s="15" t="s">
        <v>620</v>
      </c>
      <c r="B764" s="15" t="s">
        <v>748</v>
      </c>
      <c r="C764" s="15" t="s">
        <v>1654</v>
      </c>
      <c r="D764" s="15" t="str">
        <f aca="false">IF(ISNUMBER(MATCH(B764,Pages!$B$2:$B$98,0)),"Yes","Check")</f>
        <v>Yes</v>
      </c>
    </row>
    <row r="765" customFormat="false" ht="15" hidden="false" customHeight="false" outlineLevel="0" collapsed="false">
      <c r="A765" s="15" t="s">
        <v>620</v>
      </c>
      <c r="B765" s="15" t="s">
        <v>671</v>
      </c>
      <c r="C765" s="15" t="s">
        <v>1766</v>
      </c>
      <c r="D765" s="15" t="str">
        <f aca="false">IF(ISNUMBER(MATCH(B765,Pages!$B$2:$B$98,0)),"Yes","Check")</f>
        <v>Yes</v>
      </c>
    </row>
    <row r="766" customFormat="false" ht="15" hidden="false" customHeight="false" outlineLevel="0" collapsed="false">
      <c r="A766" s="15" t="s">
        <v>620</v>
      </c>
      <c r="B766" s="15" t="s">
        <v>846</v>
      </c>
      <c r="C766" s="15" t="s">
        <v>850</v>
      </c>
      <c r="D766" s="15" t="str">
        <f aca="false">IF(ISNUMBER(MATCH(B766,Pages!$B$2:$B$98,0)),"Yes","Check")</f>
        <v>Yes</v>
      </c>
    </row>
    <row r="767" customFormat="false" ht="15" hidden="false" customHeight="false" outlineLevel="0" collapsed="false">
      <c r="A767" s="15" t="s">
        <v>620</v>
      </c>
      <c r="B767" s="15" t="s">
        <v>967</v>
      </c>
      <c r="C767" s="15" t="s">
        <v>1706</v>
      </c>
      <c r="D767" s="15" t="str">
        <f aca="false">IF(ISNUMBER(MATCH(B767,Pages!$B$2:$B$98,0)),"Yes","Check")</f>
        <v>Yes</v>
      </c>
    </row>
    <row r="768" customFormat="false" ht="15" hidden="false" customHeight="false" outlineLevel="0" collapsed="false">
      <c r="A768" s="15" t="s">
        <v>620</v>
      </c>
      <c r="B768" s="15" t="s">
        <v>295</v>
      </c>
      <c r="C768" s="15" t="s">
        <v>1808</v>
      </c>
      <c r="D768" s="15" t="str">
        <f aca="false">IF(ISNUMBER(MATCH(B768,Pages!$B$2:$B$98,0)),"Yes","Check")</f>
        <v>Yes</v>
      </c>
    </row>
    <row r="769" customFormat="false" ht="15" hidden="false" customHeight="false" outlineLevel="0" collapsed="false">
      <c r="A769" s="15" t="s">
        <v>620</v>
      </c>
      <c r="B769" s="15" t="s">
        <v>183</v>
      </c>
      <c r="C769" s="15" t="s">
        <v>1506</v>
      </c>
      <c r="D769" s="15" t="str">
        <f aca="false">IF(ISNUMBER(MATCH(B769,Pages!$B$2:$B$98,0)),"Yes","Check")</f>
        <v>Yes</v>
      </c>
    </row>
    <row r="770" customFormat="false" ht="15" hidden="false" customHeight="false" outlineLevel="0" collapsed="false">
      <c r="A770" s="15" t="s">
        <v>620</v>
      </c>
      <c r="B770" s="15" t="s">
        <v>116</v>
      </c>
      <c r="C770" s="15" t="s">
        <v>1605</v>
      </c>
      <c r="D770" s="15" t="str">
        <f aca="false">IF(ISNUMBER(MATCH(B770,Pages!$B$2:$B$98,0)),"Yes","Check")</f>
        <v>Yes</v>
      </c>
    </row>
    <row r="771" customFormat="false" ht="23.85" hidden="false" customHeight="false" outlineLevel="0" collapsed="false">
      <c r="A771" s="15" t="s">
        <v>620</v>
      </c>
      <c r="B771" s="15" t="s">
        <v>522</v>
      </c>
      <c r="C771" s="15" t="s">
        <v>1720</v>
      </c>
      <c r="D771" s="15" t="str">
        <f aca="false">IF(ISNUMBER(MATCH(B771,Pages!$B$2:$B$98,0)),"Yes","Check")</f>
        <v>Yes</v>
      </c>
    </row>
    <row r="772" customFormat="false" ht="15" hidden="false" customHeight="false" outlineLevel="0" collapsed="false">
      <c r="A772" s="15" t="s">
        <v>620</v>
      </c>
      <c r="B772" s="15" t="s">
        <v>671</v>
      </c>
      <c r="C772" s="15" t="s">
        <v>1767</v>
      </c>
      <c r="D772" s="15" t="str">
        <f aca="false">IF(ISNUMBER(MATCH(B772,Pages!$B$2:$B$98,0)),"Yes","Check")</f>
        <v>Yes</v>
      </c>
    </row>
    <row r="773" customFormat="false" ht="15" hidden="false" customHeight="false" outlineLevel="0" collapsed="false">
      <c r="A773" s="15" t="s">
        <v>620</v>
      </c>
      <c r="B773" s="15" t="s">
        <v>748</v>
      </c>
      <c r="C773" s="15" t="s">
        <v>1616</v>
      </c>
      <c r="D773" s="15" t="str">
        <f aca="false">IF(ISNUMBER(MATCH(B773,Pages!$B$2:$B$98,0)),"Yes","Check")</f>
        <v>Yes</v>
      </c>
    </row>
    <row r="774" customFormat="false" ht="15" hidden="false" customHeight="false" outlineLevel="0" collapsed="false">
      <c r="A774" s="15" t="s">
        <v>620</v>
      </c>
      <c r="B774" s="15" t="s">
        <v>967</v>
      </c>
      <c r="C774" s="15" t="s">
        <v>1716</v>
      </c>
      <c r="D774" s="15" t="str">
        <f aca="false">IF(ISNUMBER(MATCH(B774,Pages!$B$2:$B$98,0)),"Yes","Check")</f>
        <v>Yes</v>
      </c>
    </row>
    <row r="775" customFormat="false" ht="15" hidden="false" customHeight="false" outlineLevel="0" collapsed="false">
      <c r="A775" s="15" t="s">
        <v>620</v>
      </c>
      <c r="B775" s="15" t="s">
        <v>116</v>
      </c>
      <c r="C775" s="15" t="s">
        <v>1483</v>
      </c>
      <c r="D775" s="15" t="str">
        <f aca="false">IF(ISNUMBER(MATCH(B775,Pages!$B$2:$B$98,0)),"Yes","Check")</f>
        <v>Yes</v>
      </c>
    </row>
    <row r="776" customFormat="false" ht="15" hidden="false" customHeight="false" outlineLevel="0" collapsed="false">
      <c r="A776" s="15" t="s">
        <v>629</v>
      </c>
      <c r="B776" s="15" t="s">
        <v>557</v>
      </c>
      <c r="C776" s="15" t="s">
        <v>1809</v>
      </c>
      <c r="D776" s="15" t="str">
        <f aca="false">IF(ISNUMBER(MATCH(B776,Pages!$B$2:$B$98,0)),"Yes","Check")</f>
        <v>Yes</v>
      </c>
    </row>
    <row r="777" customFormat="false" ht="15" hidden="false" customHeight="false" outlineLevel="0" collapsed="false">
      <c r="A777" s="15" t="s">
        <v>629</v>
      </c>
      <c r="B777" s="15" t="s">
        <v>757</v>
      </c>
      <c r="C777" s="15" t="s">
        <v>1599</v>
      </c>
      <c r="D777" s="15" t="str">
        <f aca="false">IF(ISNUMBER(MATCH(B777,Pages!$B$2:$B$98,0)),"Yes","Check")</f>
        <v>Yes</v>
      </c>
    </row>
    <row r="778" customFormat="false" ht="15" hidden="false" customHeight="false" outlineLevel="0" collapsed="false">
      <c r="A778" s="15" t="s">
        <v>629</v>
      </c>
      <c r="B778" s="15" t="s">
        <v>540</v>
      </c>
      <c r="C778" s="15" t="s">
        <v>1634</v>
      </c>
      <c r="D778" s="15" t="str">
        <f aca="false">IF(ISNUMBER(MATCH(B778,Pages!$B$2:$B$98,0)),"Yes","Check")</f>
        <v>Yes</v>
      </c>
    </row>
    <row r="779" customFormat="false" ht="15" hidden="false" customHeight="false" outlineLevel="0" collapsed="false">
      <c r="A779" s="15" t="s">
        <v>629</v>
      </c>
      <c r="B779" s="15" t="s">
        <v>183</v>
      </c>
      <c r="C779" s="15" t="s">
        <v>1810</v>
      </c>
      <c r="D779" s="15" t="str">
        <f aca="false">IF(ISNUMBER(MATCH(B779,Pages!$B$2:$B$98,0)),"Yes","Check")</f>
        <v>Yes</v>
      </c>
    </row>
    <row r="780" customFormat="false" ht="15" hidden="false" customHeight="false" outlineLevel="0" collapsed="false">
      <c r="A780" s="15" t="s">
        <v>629</v>
      </c>
      <c r="B780" s="15" t="s">
        <v>638</v>
      </c>
      <c r="C780" s="15" t="s">
        <v>1807</v>
      </c>
      <c r="D780" s="15" t="str">
        <f aca="false">IF(ISNUMBER(MATCH(B780,Pages!$B$2:$B$98,0)),"Yes","Check")</f>
        <v>Yes</v>
      </c>
    </row>
    <row r="781" customFormat="false" ht="15" hidden="false" customHeight="false" outlineLevel="0" collapsed="false">
      <c r="A781" s="15" t="s">
        <v>629</v>
      </c>
      <c r="B781" s="15" t="s">
        <v>195</v>
      </c>
      <c r="C781" s="15" t="s">
        <v>1789</v>
      </c>
      <c r="D781" s="15" t="str">
        <f aca="false">IF(ISNUMBER(MATCH(B781,Pages!$B$2:$B$98,0)),"Yes","Check")</f>
        <v>Yes</v>
      </c>
    </row>
    <row r="782" customFormat="false" ht="15" hidden="false" customHeight="false" outlineLevel="0" collapsed="false">
      <c r="A782" s="15" t="s">
        <v>629</v>
      </c>
      <c r="B782" s="15" t="s">
        <v>908</v>
      </c>
      <c r="C782" s="15" t="s">
        <v>1693</v>
      </c>
      <c r="D782" s="15" t="str">
        <f aca="false">IF(ISNUMBER(MATCH(B782,Pages!$B$2:$B$98,0)),"Yes","Check")</f>
        <v>Yes</v>
      </c>
    </row>
    <row r="783" customFormat="false" ht="15" hidden="false" customHeight="false" outlineLevel="0" collapsed="false">
      <c r="A783" s="15" t="s">
        <v>629</v>
      </c>
      <c r="B783" s="15" t="s">
        <v>116</v>
      </c>
      <c r="C783" s="15" t="s">
        <v>1605</v>
      </c>
      <c r="D783" s="15" t="str">
        <f aca="false">IF(ISNUMBER(MATCH(B783,Pages!$B$2:$B$98,0)),"Yes","Check")</f>
        <v>Yes</v>
      </c>
    </row>
    <row r="784" customFormat="false" ht="23.85" hidden="false" customHeight="false" outlineLevel="0" collapsed="false">
      <c r="A784" s="15" t="s">
        <v>629</v>
      </c>
      <c r="B784" s="15" t="s">
        <v>540</v>
      </c>
      <c r="C784" s="15" t="s">
        <v>1639</v>
      </c>
      <c r="D784" s="15" t="str">
        <f aca="false">IF(ISNUMBER(MATCH(B784,Pages!$B$2:$B$98,0)),"Yes","Check")</f>
        <v>Yes</v>
      </c>
    </row>
    <row r="785" customFormat="false" ht="15" hidden="false" customHeight="false" outlineLevel="0" collapsed="false">
      <c r="A785" s="15" t="s">
        <v>629</v>
      </c>
      <c r="B785" s="15" t="s">
        <v>638</v>
      </c>
      <c r="C785" s="15" t="s">
        <v>1779</v>
      </c>
      <c r="D785" s="15" t="str">
        <f aca="false">IF(ISNUMBER(MATCH(B785,Pages!$B$2:$B$98,0)),"Yes","Check")</f>
        <v>Yes</v>
      </c>
    </row>
    <row r="786" customFormat="false" ht="15" hidden="false" customHeight="false" outlineLevel="0" collapsed="false">
      <c r="A786" s="15" t="s">
        <v>629</v>
      </c>
      <c r="B786" s="15" t="s">
        <v>757</v>
      </c>
      <c r="C786" s="15" t="s">
        <v>1608</v>
      </c>
      <c r="D786" s="15" t="str">
        <f aca="false">IF(ISNUMBER(MATCH(B786,Pages!$B$2:$B$98,0)),"Yes","Check")</f>
        <v>Yes</v>
      </c>
    </row>
    <row r="787" customFormat="false" ht="15" hidden="false" customHeight="false" outlineLevel="0" collapsed="false">
      <c r="A787" s="15" t="s">
        <v>629</v>
      </c>
      <c r="B787" s="15" t="s">
        <v>722</v>
      </c>
      <c r="C787" s="15" t="s">
        <v>1609</v>
      </c>
      <c r="D787" s="15" t="str">
        <f aca="false">IF(ISNUMBER(MATCH(B787,Pages!$B$2:$B$98,0)),"Yes","Check")</f>
        <v>Yes</v>
      </c>
    </row>
    <row r="788" customFormat="false" ht="15" hidden="false" customHeight="false" outlineLevel="0" collapsed="false">
      <c r="A788" s="15" t="s">
        <v>629</v>
      </c>
      <c r="B788" s="15" t="s">
        <v>116</v>
      </c>
      <c r="C788" s="15" t="s">
        <v>1483</v>
      </c>
      <c r="D788" s="15" t="str">
        <f aca="false">IF(ISNUMBER(MATCH(B788,Pages!$B$2:$B$98,0)),"Yes","Check")</f>
        <v>Yes</v>
      </c>
    </row>
    <row r="789" customFormat="false" ht="15" hidden="false" customHeight="false" outlineLevel="0" collapsed="false">
      <c r="A789" s="15" t="s">
        <v>638</v>
      </c>
      <c r="B789" s="15" t="s">
        <v>183</v>
      </c>
      <c r="C789" s="15" t="s">
        <v>1810</v>
      </c>
      <c r="D789" s="15" t="str">
        <f aca="false">IF(ISNUMBER(MATCH(B789,Pages!$B$2:$B$98,0)),"Yes","Check")</f>
        <v>Yes</v>
      </c>
    </row>
    <row r="790" customFormat="false" ht="15" hidden="false" customHeight="false" outlineLevel="0" collapsed="false">
      <c r="A790" s="15" t="s">
        <v>638</v>
      </c>
      <c r="B790" s="15" t="s">
        <v>195</v>
      </c>
      <c r="C790" s="15" t="s">
        <v>1811</v>
      </c>
      <c r="D790" s="15" t="str">
        <f aca="false">IF(ISNUMBER(MATCH(B790,Pages!$B$2:$B$98,0)),"Yes","Check")</f>
        <v>Yes</v>
      </c>
    </row>
    <row r="791" customFormat="false" ht="15" hidden="false" customHeight="false" outlineLevel="0" collapsed="false">
      <c r="A791" s="15" t="s">
        <v>638</v>
      </c>
      <c r="B791" s="15" t="s">
        <v>331</v>
      </c>
      <c r="C791" s="15" t="s">
        <v>1500</v>
      </c>
      <c r="D791" s="15" t="str">
        <f aca="false">IF(ISNUMBER(MATCH(B791,Pages!$B$2:$B$98,0)),"Yes","Check")</f>
        <v>Yes</v>
      </c>
    </row>
    <row r="792" customFormat="false" ht="15" hidden="false" customHeight="false" outlineLevel="0" collapsed="false">
      <c r="A792" s="15" t="s">
        <v>638</v>
      </c>
      <c r="B792" s="15" t="s">
        <v>540</v>
      </c>
      <c r="C792" s="15" t="s">
        <v>1634</v>
      </c>
      <c r="D792" s="15" t="str">
        <f aca="false">IF(ISNUMBER(MATCH(B792,Pages!$B$2:$B$98,0)),"Yes","Check")</f>
        <v>Yes</v>
      </c>
    </row>
    <row r="793" customFormat="false" ht="15" hidden="false" customHeight="false" outlineLevel="0" collapsed="false">
      <c r="A793" s="15" t="s">
        <v>638</v>
      </c>
      <c r="B793" s="15" t="s">
        <v>349</v>
      </c>
      <c r="C793" s="15" t="s">
        <v>1635</v>
      </c>
      <c r="D793" s="15" t="str">
        <f aca="false">IF(ISNUMBER(MATCH(B793,Pages!$B$2:$B$98,0)),"Yes","Check")</f>
        <v>Yes</v>
      </c>
    </row>
    <row r="794" customFormat="false" ht="15" hidden="false" customHeight="false" outlineLevel="0" collapsed="false">
      <c r="A794" s="15" t="s">
        <v>638</v>
      </c>
      <c r="B794" s="15" t="s">
        <v>629</v>
      </c>
      <c r="C794" s="15" t="s">
        <v>1812</v>
      </c>
      <c r="D794" s="15" t="str">
        <f aca="false">IF(ISNUMBER(MATCH(B794,Pages!$B$2:$B$98,0)),"Yes","Check")</f>
        <v>Yes</v>
      </c>
    </row>
    <row r="795" customFormat="false" ht="15" hidden="false" customHeight="false" outlineLevel="0" collapsed="false">
      <c r="A795" s="15" t="s">
        <v>638</v>
      </c>
      <c r="B795" s="15" t="s">
        <v>757</v>
      </c>
      <c r="C795" s="15" t="s">
        <v>1813</v>
      </c>
      <c r="D795" s="15" t="str">
        <f aca="false">IF(ISNUMBER(MATCH(B795,Pages!$B$2:$B$98,0)),"Yes","Check")</f>
        <v>Yes</v>
      </c>
    </row>
    <row r="796" customFormat="false" ht="15" hidden="false" customHeight="false" outlineLevel="0" collapsed="false">
      <c r="A796" s="15" t="s">
        <v>638</v>
      </c>
      <c r="B796" s="15" t="s">
        <v>116</v>
      </c>
      <c r="C796" s="15" t="s">
        <v>1605</v>
      </c>
      <c r="D796" s="15" t="str">
        <f aca="false">IF(ISNUMBER(MATCH(B796,Pages!$B$2:$B$98,0)),"Yes","Check")</f>
        <v>Yes</v>
      </c>
    </row>
    <row r="797" customFormat="false" ht="23.85" hidden="false" customHeight="false" outlineLevel="0" collapsed="false">
      <c r="A797" s="15" t="s">
        <v>638</v>
      </c>
      <c r="B797" s="15" t="s">
        <v>540</v>
      </c>
      <c r="C797" s="15" t="s">
        <v>1639</v>
      </c>
      <c r="D797" s="15" t="str">
        <f aca="false">IF(ISNUMBER(MATCH(B797,Pages!$B$2:$B$98,0)),"Yes","Check")</f>
        <v>Yes</v>
      </c>
    </row>
    <row r="798" customFormat="false" ht="15" hidden="false" customHeight="false" outlineLevel="0" collapsed="false">
      <c r="A798" s="15" t="s">
        <v>638</v>
      </c>
      <c r="B798" s="15" t="s">
        <v>629</v>
      </c>
      <c r="C798" s="15" t="s">
        <v>1814</v>
      </c>
      <c r="D798" s="15" t="str">
        <f aca="false">IF(ISNUMBER(MATCH(B798,Pages!$B$2:$B$98,0)),"Yes","Check")</f>
        <v>Yes</v>
      </c>
    </row>
    <row r="799" customFormat="false" ht="15" hidden="false" customHeight="false" outlineLevel="0" collapsed="false">
      <c r="A799" s="15" t="s">
        <v>638</v>
      </c>
      <c r="B799" s="15" t="s">
        <v>757</v>
      </c>
      <c r="C799" s="15" t="s">
        <v>1608</v>
      </c>
      <c r="D799" s="15" t="str">
        <f aca="false">IF(ISNUMBER(MATCH(B799,Pages!$B$2:$B$98,0)),"Yes","Check")</f>
        <v>Yes</v>
      </c>
    </row>
    <row r="800" customFormat="false" ht="15" hidden="false" customHeight="false" outlineLevel="0" collapsed="false">
      <c r="A800" s="15" t="s">
        <v>638</v>
      </c>
      <c r="B800" s="15" t="s">
        <v>722</v>
      </c>
      <c r="C800" s="15" t="s">
        <v>1609</v>
      </c>
      <c r="D800" s="15" t="str">
        <f aca="false">IF(ISNUMBER(MATCH(B800,Pages!$B$2:$B$98,0)),"Yes","Check")</f>
        <v>Yes</v>
      </c>
    </row>
    <row r="801" customFormat="false" ht="15" hidden="false" customHeight="false" outlineLevel="0" collapsed="false">
      <c r="A801" s="15" t="s">
        <v>638</v>
      </c>
      <c r="B801" s="15" t="s">
        <v>116</v>
      </c>
      <c r="C801" s="15" t="s">
        <v>1483</v>
      </c>
      <c r="D801" s="15" t="str">
        <f aca="false">IF(ISNUMBER(MATCH(B801,Pages!$B$2:$B$98,0)),"Yes","Check")</f>
        <v>Yes</v>
      </c>
    </row>
    <row r="802" customFormat="false" ht="15" hidden="false" customHeight="false" outlineLevel="0" collapsed="false">
      <c r="A802" s="15" t="s">
        <v>646</v>
      </c>
      <c r="B802" s="15" t="s">
        <v>183</v>
      </c>
      <c r="C802" s="15" t="s">
        <v>1506</v>
      </c>
      <c r="D802" s="15" t="str">
        <f aca="false">IF(ISNUMBER(MATCH(B802,Pages!$B$2:$B$98,0)),"Yes","Check")</f>
        <v>Yes</v>
      </c>
    </row>
    <row r="803" customFormat="false" ht="15" hidden="false" customHeight="false" outlineLevel="0" collapsed="false">
      <c r="A803" s="15" t="s">
        <v>646</v>
      </c>
      <c r="B803" s="15" t="s">
        <v>549</v>
      </c>
      <c r="C803" s="15" t="s">
        <v>1815</v>
      </c>
      <c r="D803" s="15" t="str">
        <f aca="false">IF(ISNUMBER(MATCH(B803,Pages!$B$2:$B$98,0)),"Yes","Check")</f>
        <v>Yes</v>
      </c>
    </row>
    <row r="804" customFormat="false" ht="15" hidden="false" customHeight="false" outlineLevel="0" collapsed="false">
      <c r="A804" s="15" t="s">
        <v>646</v>
      </c>
      <c r="B804" s="15" t="s">
        <v>855</v>
      </c>
      <c r="C804" s="15" t="s">
        <v>1642</v>
      </c>
      <c r="D804" s="15" t="str">
        <f aca="false">IF(ISNUMBER(MATCH(B804,Pages!$B$2:$B$98,0)),"Yes","Check")</f>
        <v>Yes</v>
      </c>
    </row>
    <row r="805" customFormat="false" ht="15" hidden="false" customHeight="false" outlineLevel="0" collapsed="false">
      <c r="A805" s="15" t="s">
        <v>646</v>
      </c>
      <c r="B805" s="15" t="s">
        <v>441</v>
      </c>
      <c r="C805" s="15" t="s">
        <v>1816</v>
      </c>
      <c r="D805" s="15" t="str">
        <f aca="false">IF(ISNUMBER(MATCH(B805,Pages!$B$2:$B$98,0)),"Yes","Check")</f>
        <v>Yes</v>
      </c>
    </row>
    <row r="806" customFormat="false" ht="15" hidden="false" customHeight="false" outlineLevel="0" collapsed="false">
      <c r="A806" s="15" t="s">
        <v>646</v>
      </c>
      <c r="B806" s="15" t="s">
        <v>748</v>
      </c>
      <c r="C806" s="15" t="s">
        <v>1654</v>
      </c>
      <c r="D806" s="15" t="str">
        <f aca="false">IF(ISNUMBER(MATCH(B806,Pages!$B$2:$B$98,0)),"Yes","Check")</f>
        <v>Yes</v>
      </c>
    </row>
    <row r="807" customFormat="false" ht="15" hidden="false" customHeight="false" outlineLevel="0" collapsed="false">
      <c r="A807" s="15" t="s">
        <v>646</v>
      </c>
      <c r="B807" s="15" t="s">
        <v>206</v>
      </c>
      <c r="C807" s="15" t="s">
        <v>1817</v>
      </c>
      <c r="D807" s="15" t="str">
        <f aca="false">IF(ISNUMBER(MATCH(B807,Pages!$B$2:$B$98,0)),"Yes","Check")</f>
        <v>Yes</v>
      </c>
    </row>
    <row r="808" customFormat="false" ht="15" hidden="false" customHeight="false" outlineLevel="0" collapsed="false">
      <c r="A808" s="15" t="s">
        <v>646</v>
      </c>
      <c r="B808" s="15" t="s">
        <v>662</v>
      </c>
      <c r="C808" s="15" t="s">
        <v>1818</v>
      </c>
      <c r="D808" s="15" t="str">
        <f aca="false">IF(ISNUMBER(MATCH(B808,Pages!$B$2:$B$98,0)),"Yes","Check")</f>
        <v>Yes</v>
      </c>
    </row>
    <row r="809" customFormat="false" ht="15" hidden="false" customHeight="false" outlineLevel="0" collapsed="false">
      <c r="A809" s="15" t="s">
        <v>646</v>
      </c>
      <c r="B809" s="15" t="s">
        <v>654</v>
      </c>
      <c r="C809" s="15" t="s">
        <v>657</v>
      </c>
      <c r="D809" s="15" t="str">
        <f aca="false">IF(ISNUMBER(MATCH(B809,Pages!$B$2:$B$98,0)),"Yes","Check")</f>
        <v>Yes</v>
      </c>
    </row>
    <row r="810" customFormat="false" ht="15" hidden="false" customHeight="false" outlineLevel="0" collapsed="false">
      <c r="A810" s="15" t="s">
        <v>646</v>
      </c>
      <c r="B810" s="15" t="s">
        <v>116</v>
      </c>
      <c r="C810" s="15" t="s">
        <v>1605</v>
      </c>
      <c r="D810" s="15" t="str">
        <f aca="false">IF(ISNUMBER(MATCH(B810,Pages!$B$2:$B$98,0)),"Yes","Check")</f>
        <v>Yes</v>
      </c>
    </row>
    <row r="811" customFormat="false" ht="23.85" hidden="false" customHeight="false" outlineLevel="0" collapsed="false">
      <c r="A811" s="15" t="s">
        <v>646</v>
      </c>
      <c r="B811" s="15" t="s">
        <v>206</v>
      </c>
      <c r="C811" s="15" t="s">
        <v>1819</v>
      </c>
      <c r="D811" s="15" t="str">
        <f aca="false">IF(ISNUMBER(MATCH(B811,Pages!$B$2:$B$98,0)),"Yes","Check")</f>
        <v>Yes</v>
      </c>
    </row>
    <row r="812" customFormat="false" ht="15" hidden="false" customHeight="false" outlineLevel="0" collapsed="false">
      <c r="A812" s="15" t="s">
        <v>646</v>
      </c>
      <c r="B812" s="15" t="s">
        <v>654</v>
      </c>
      <c r="C812" s="15" t="s">
        <v>1820</v>
      </c>
      <c r="D812" s="15" t="str">
        <f aca="false">IF(ISNUMBER(MATCH(B812,Pages!$B$2:$B$98,0)),"Yes","Check")</f>
        <v>Yes</v>
      </c>
    </row>
    <row r="813" customFormat="false" ht="23.85" hidden="false" customHeight="false" outlineLevel="0" collapsed="false">
      <c r="A813" s="15" t="s">
        <v>646</v>
      </c>
      <c r="B813" s="15" t="s">
        <v>662</v>
      </c>
      <c r="C813" s="15" t="s">
        <v>1615</v>
      </c>
      <c r="D813" s="15" t="str">
        <f aca="false">IF(ISNUMBER(MATCH(B813,Pages!$B$2:$B$98,0)),"Yes","Check")</f>
        <v>Yes</v>
      </c>
    </row>
    <row r="814" customFormat="false" ht="15" hidden="false" customHeight="false" outlineLevel="0" collapsed="false">
      <c r="A814" s="15" t="s">
        <v>646</v>
      </c>
      <c r="B814" s="15" t="s">
        <v>748</v>
      </c>
      <c r="C814" s="15" t="s">
        <v>1616</v>
      </c>
      <c r="D814" s="15" t="str">
        <f aca="false">IF(ISNUMBER(MATCH(B814,Pages!$B$2:$B$98,0)),"Yes","Check")</f>
        <v>Yes</v>
      </c>
    </row>
    <row r="815" customFormat="false" ht="15" hidden="false" customHeight="false" outlineLevel="0" collapsed="false">
      <c r="A815" s="15" t="s">
        <v>646</v>
      </c>
      <c r="B815" s="15" t="s">
        <v>116</v>
      </c>
      <c r="C815" s="15" t="s">
        <v>1483</v>
      </c>
      <c r="D815" s="15" t="str">
        <f aca="false">IF(ISNUMBER(MATCH(B815,Pages!$B$2:$B$98,0)),"Yes","Check")</f>
        <v>Yes</v>
      </c>
    </row>
    <row r="816" customFormat="false" ht="15" hidden="false" customHeight="false" outlineLevel="0" collapsed="false">
      <c r="A816" s="15" t="s">
        <v>654</v>
      </c>
      <c r="B816" s="15" t="s">
        <v>183</v>
      </c>
      <c r="C816" s="15" t="s">
        <v>1487</v>
      </c>
      <c r="D816" s="15" t="str">
        <f aca="false">IF(ISNUMBER(MATCH(B816,Pages!$B$2:$B$98,0)),"Yes","Check")</f>
        <v>Yes</v>
      </c>
    </row>
    <row r="817" customFormat="false" ht="15" hidden="false" customHeight="false" outlineLevel="0" collapsed="false">
      <c r="A817" s="15" t="s">
        <v>654</v>
      </c>
      <c r="B817" s="15" t="s">
        <v>513</v>
      </c>
      <c r="C817" s="15" t="s">
        <v>1821</v>
      </c>
      <c r="D817" s="15" t="str">
        <f aca="false">IF(ISNUMBER(MATCH(B817,Pages!$B$2:$B$98,0)),"Yes","Check")</f>
        <v>Yes</v>
      </c>
    </row>
    <row r="818" customFormat="false" ht="15" hidden="false" customHeight="false" outlineLevel="0" collapsed="false">
      <c r="A818" s="15" t="s">
        <v>654</v>
      </c>
      <c r="B818" s="15" t="s">
        <v>775</v>
      </c>
      <c r="C818" s="15" t="s">
        <v>1822</v>
      </c>
      <c r="D818" s="15" t="str">
        <f aca="false">IF(ISNUMBER(MATCH(B818,Pages!$B$2:$B$98,0)),"Yes","Check")</f>
        <v>Yes</v>
      </c>
    </row>
    <row r="819" customFormat="false" ht="15" hidden="false" customHeight="false" outlineLevel="0" collapsed="false">
      <c r="A819" s="15" t="s">
        <v>654</v>
      </c>
      <c r="B819" s="15" t="s">
        <v>967</v>
      </c>
      <c r="C819" s="15" t="s">
        <v>1706</v>
      </c>
      <c r="D819" s="15" t="str">
        <f aca="false">IF(ISNUMBER(MATCH(B819,Pages!$B$2:$B$98,0)),"Yes","Check")</f>
        <v>Yes</v>
      </c>
    </row>
    <row r="820" customFormat="false" ht="15" hidden="false" customHeight="false" outlineLevel="0" collapsed="false">
      <c r="A820" s="15" t="s">
        <v>654</v>
      </c>
      <c r="B820" s="15" t="s">
        <v>522</v>
      </c>
      <c r="C820" s="15" t="s">
        <v>1823</v>
      </c>
      <c r="D820" s="15" t="str">
        <f aca="false">IF(ISNUMBER(MATCH(B820,Pages!$B$2:$B$98,0)),"Yes","Check")</f>
        <v>Yes</v>
      </c>
    </row>
    <row r="821" customFormat="false" ht="15" hidden="false" customHeight="false" outlineLevel="0" collapsed="false">
      <c r="A821" s="15" t="s">
        <v>654</v>
      </c>
      <c r="B821" s="15" t="s">
        <v>646</v>
      </c>
      <c r="C821" s="15" t="s">
        <v>649</v>
      </c>
      <c r="D821" s="15" t="str">
        <f aca="false">IF(ISNUMBER(MATCH(B821,Pages!$B$2:$B$98,0)),"Yes","Check")</f>
        <v>Yes</v>
      </c>
    </row>
    <row r="822" customFormat="false" ht="15" hidden="false" customHeight="false" outlineLevel="0" collapsed="false">
      <c r="A822" s="15" t="s">
        <v>654</v>
      </c>
      <c r="B822" s="15" t="s">
        <v>116</v>
      </c>
      <c r="C822" s="15" t="s">
        <v>1605</v>
      </c>
      <c r="D822" s="15" t="str">
        <f aca="false">IF(ISNUMBER(MATCH(B822,Pages!$B$2:$B$98,0)),"Yes","Check")</f>
        <v>Yes</v>
      </c>
    </row>
    <row r="823" customFormat="false" ht="23.85" hidden="false" customHeight="false" outlineLevel="0" collapsed="false">
      <c r="A823" s="15" t="s">
        <v>654</v>
      </c>
      <c r="B823" s="15" t="s">
        <v>522</v>
      </c>
      <c r="C823" s="15" t="s">
        <v>1720</v>
      </c>
      <c r="D823" s="15" t="str">
        <f aca="false">IF(ISNUMBER(MATCH(B823,Pages!$B$2:$B$98,0)),"Yes","Check")</f>
        <v>Yes</v>
      </c>
    </row>
    <row r="824" customFormat="false" ht="23.85" hidden="false" customHeight="false" outlineLevel="0" collapsed="false">
      <c r="A824" s="15" t="s">
        <v>654</v>
      </c>
      <c r="B824" s="15" t="s">
        <v>646</v>
      </c>
      <c r="C824" s="15" t="s">
        <v>1614</v>
      </c>
      <c r="D824" s="15" t="str">
        <f aca="false">IF(ISNUMBER(MATCH(B824,Pages!$B$2:$B$98,0)),"Yes","Check")</f>
        <v>Yes</v>
      </c>
    </row>
    <row r="825" customFormat="false" ht="15" hidden="false" customHeight="false" outlineLevel="0" collapsed="false">
      <c r="A825" s="15" t="s">
        <v>654</v>
      </c>
      <c r="B825" s="15" t="s">
        <v>775</v>
      </c>
      <c r="C825" s="15" t="s">
        <v>1677</v>
      </c>
      <c r="D825" s="15" t="str">
        <f aca="false">IF(ISNUMBER(MATCH(B825,Pages!$B$2:$B$98,0)),"Yes","Check")</f>
        <v>Yes</v>
      </c>
    </row>
    <row r="826" customFormat="false" ht="15" hidden="false" customHeight="false" outlineLevel="0" collapsed="false">
      <c r="A826" s="15" t="s">
        <v>654</v>
      </c>
      <c r="B826" s="15" t="s">
        <v>967</v>
      </c>
      <c r="C826" s="15" t="s">
        <v>1716</v>
      </c>
      <c r="D826" s="15" t="str">
        <f aca="false">IF(ISNUMBER(MATCH(B826,Pages!$B$2:$B$98,0)),"Yes","Check")</f>
        <v>Yes</v>
      </c>
    </row>
    <row r="827" customFormat="false" ht="15" hidden="false" customHeight="false" outlineLevel="0" collapsed="false">
      <c r="A827" s="15" t="s">
        <v>654</v>
      </c>
      <c r="B827" s="15" t="s">
        <v>116</v>
      </c>
      <c r="C827" s="15" t="s">
        <v>1483</v>
      </c>
      <c r="D827" s="15" t="str">
        <f aca="false">IF(ISNUMBER(MATCH(B827,Pages!$B$2:$B$98,0)),"Yes","Check")</f>
        <v>Yes</v>
      </c>
    </row>
    <row r="828" customFormat="false" ht="15" hidden="false" customHeight="false" outlineLevel="0" collapsed="false">
      <c r="A828" s="15" t="s">
        <v>662</v>
      </c>
      <c r="B828" s="15" t="s">
        <v>183</v>
      </c>
      <c r="C828" s="15" t="s">
        <v>1506</v>
      </c>
      <c r="D828" s="15" t="str">
        <f aca="false">IF(ISNUMBER(MATCH(B828,Pages!$B$2:$B$98,0)),"Yes","Check")</f>
        <v>Yes</v>
      </c>
    </row>
    <row r="829" customFormat="false" ht="15" hidden="false" customHeight="false" outlineLevel="0" collapsed="false">
      <c r="A829" s="15" t="s">
        <v>662</v>
      </c>
      <c r="B829" s="15" t="s">
        <v>748</v>
      </c>
      <c r="C829" s="15" t="s">
        <v>1824</v>
      </c>
      <c r="D829" s="15" t="str">
        <f aca="false">IF(ISNUMBER(MATCH(B829,Pages!$B$2:$B$98,0)),"Yes","Check")</f>
        <v>Yes</v>
      </c>
    </row>
    <row r="830" customFormat="false" ht="15" hidden="false" customHeight="false" outlineLevel="0" collapsed="false">
      <c r="A830" s="15" t="s">
        <v>662</v>
      </c>
      <c r="B830" s="15" t="s">
        <v>967</v>
      </c>
      <c r="C830" s="15" t="s">
        <v>1706</v>
      </c>
      <c r="D830" s="15" t="str">
        <f aca="false">IF(ISNUMBER(MATCH(B830,Pages!$B$2:$B$98,0)),"Yes","Check")</f>
        <v>Yes</v>
      </c>
    </row>
    <row r="831" customFormat="false" ht="15" hidden="false" customHeight="false" outlineLevel="0" collapsed="false">
      <c r="A831" s="15" t="s">
        <v>662</v>
      </c>
      <c r="B831" s="15" t="s">
        <v>450</v>
      </c>
      <c r="C831" s="15" t="s">
        <v>1482</v>
      </c>
      <c r="D831" s="15" t="str">
        <f aca="false">IF(ISNUMBER(MATCH(B831,Pages!$B$2:$B$98,0)),"Yes","Check")</f>
        <v>Yes</v>
      </c>
    </row>
    <row r="832" customFormat="false" ht="15" hidden="false" customHeight="false" outlineLevel="0" collapsed="false">
      <c r="A832" s="15" t="s">
        <v>662</v>
      </c>
      <c r="B832" s="15" t="s">
        <v>881</v>
      </c>
      <c r="C832" s="15" t="s">
        <v>1759</v>
      </c>
      <c r="D832" s="15" t="str">
        <f aca="false">IF(ISNUMBER(MATCH(B832,Pages!$B$2:$B$98,0)),"Yes","Check")</f>
        <v>Yes</v>
      </c>
    </row>
    <row r="833" customFormat="false" ht="15" hidden="false" customHeight="false" outlineLevel="0" collapsed="false">
      <c r="A833" s="15" t="s">
        <v>662</v>
      </c>
      <c r="B833" s="15" t="s">
        <v>646</v>
      </c>
      <c r="C833" s="15" t="s">
        <v>649</v>
      </c>
      <c r="D833" s="15" t="str">
        <f aca="false">IF(ISNUMBER(MATCH(B833,Pages!$B$2:$B$98,0)),"Yes","Check")</f>
        <v>Yes</v>
      </c>
    </row>
    <row r="834" customFormat="false" ht="15" hidden="false" customHeight="false" outlineLevel="0" collapsed="false">
      <c r="A834" s="15" t="s">
        <v>662</v>
      </c>
      <c r="B834" s="15" t="s">
        <v>206</v>
      </c>
      <c r="C834" s="15" t="s">
        <v>1817</v>
      </c>
      <c r="D834" s="15" t="str">
        <f aca="false">IF(ISNUMBER(MATCH(B834,Pages!$B$2:$B$98,0)),"Yes","Check")</f>
        <v>Yes</v>
      </c>
    </row>
    <row r="835" customFormat="false" ht="15" hidden="false" customHeight="false" outlineLevel="0" collapsed="false">
      <c r="A835" s="15" t="s">
        <v>662</v>
      </c>
      <c r="B835" s="15" t="s">
        <v>116</v>
      </c>
      <c r="C835" s="15" t="s">
        <v>1605</v>
      </c>
      <c r="D835" s="15" t="str">
        <f aca="false">IF(ISNUMBER(MATCH(B835,Pages!$B$2:$B$98,0)),"Yes","Check")</f>
        <v>Yes</v>
      </c>
    </row>
    <row r="836" customFormat="false" ht="15" hidden="false" customHeight="false" outlineLevel="0" collapsed="false">
      <c r="A836" s="15" t="s">
        <v>662</v>
      </c>
      <c r="B836" s="15" t="s">
        <v>450</v>
      </c>
      <c r="C836" s="15" t="s">
        <v>1630</v>
      </c>
      <c r="D836" s="15" t="str">
        <f aca="false">IF(ISNUMBER(MATCH(B836,Pages!$B$2:$B$98,0)),"Yes","Check")</f>
        <v>Yes</v>
      </c>
    </row>
    <row r="837" customFormat="false" ht="15" hidden="false" customHeight="false" outlineLevel="0" collapsed="false">
      <c r="A837" s="15" t="s">
        <v>662</v>
      </c>
      <c r="B837" s="15" t="s">
        <v>748</v>
      </c>
      <c r="C837" s="15" t="s">
        <v>1616</v>
      </c>
      <c r="D837" s="15" t="str">
        <f aca="false">IF(ISNUMBER(MATCH(B837,Pages!$B$2:$B$98,0)),"Yes","Check")</f>
        <v>Yes</v>
      </c>
    </row>
    <row r="838" customFormat="false" ht="15" hidden="false" customHeight="false" outlineLevel="0" collapsed="false">
      <c r="A838" s="15" t="s">
        <v>662</v>
      </c>
      <c r="B838" s="15" t="s">
        <v>967</v>
      </c>
      <c r="C838" s="15" t="s">
        <v>1716</v>
      </c>
      <c r="D838" s="15" t="str">
        <f aca="false">IF(ISNUMBER(MATCH(B838,Pages!$B$2:$B$98,0)),"Yes","Check")</f>
        <v>Yes</v>
      </c>
    </row>
    <row r="839" customFormat="false" ht="23.85" hidden="false" customHeight="false" outlineLevel="0" collapsed="false">
      <c r="A839" s="15" t="s">
        <v>662</v>
      </c>
      <c r="B839" s="15" t="s">
        <v>206</v>
      </c>
      <c r="C839" s="15" t="s">
        <v>1819</v>
      </c>
      <c r="D839" s="15" t="str">
        <f aca="false">IF(ISNUMBER(MATCH(B839,Pages!$B$2:$B$98,0)),"Yes","Check")</f>
        <v>Yes</v>
      </c>
    </row>
    <row r="840" customFormat="false" ht="15" hidden="false" customHeight="false" outlineLevel="0" collapsed="false">
      <c r="A840" s="15" t="s">
        <v>662</v>
      </c>
      <c r="B840" s="15" t="s">
        <v>116</v>
      </c>
      <c r="C840" s="15" t="s">
        <v>1483</v>
      </c>
      <c r="D840" s="15" t="str">
        <f aca="false">IF(ISNUMBER(MATCH(B840,Pages!$B$2:$B$98,0)),"Yes","Check")</f>
        <v>Yes</v>
      </c>
    </row>
    <row r="841" customFormat="false" ht="15" hidden="false" customHeight="false" outlineLevel="0" collapsed="false">
      <c r="A841" s="15" t="s">
        <v>671</v>
      </c>
      <c r="B841" s="15" t="s">
        <v>183</v>
      </c>
      <c r="C841" s="15" t="s">
        <v>1825</v>
      </c>
      <c r="D841" s="15" t="str">
        <f aca="false">IF(ISNUMBER(MATCH(B841,Pages!$B$2:$B$98,0)),"Yes","Check")</f>
        <v>Yes</v>
      </c>
    </row>
    <row r="842" customFormat="false" ht="15" hidden="false" customHeight="false" outlineLevel="0" collapsed="false">
      <c r="A842" s="15" t="s">
        <v>671</v>
      </c>
      <c r="B842" s="15" t="s">
        <v>513</v>
      </c>
      <c r="C842" s="15" t="s">
        <v>1821</v>
      </c>
      <c r="D842" s="15" t="str">
        <f aca="false">IF(ISNUMBER(MATCH(B842,Pages!$B$2:$B$98,0)),"Yes","Check")</f>
        <v>Yes</v>
      </c>
    </row>
    <row r="843" customFormat="false" ht="15" hidden="false" customHeight="false" outlineLevel="0" collapsed="false">
      <c r="A843" s="15" t="s">
        <v>671</v>
      </c>
      <c r="B843" s="15" t="s">
        <v>748</v>
      </c>
      <c r="C843" s="15" t="s">
        <v>1743</v>
      </c>
      <c r="D843" s="15" t="str">
        <f aca="false">IF(ISNUMBER(MATCH(B843,Pages!$B$2:$B$98,0)),"Yes","Check")</f>
        <v>Yes</v>
      </c>
    </row>
    <row r="844" customFormat="false" ht="15" hidden="false" customHeight="false" outlineLevel="0" collapsed="false">
      <c r="A844" s="15" t="s">
        <v>671</v>
      </c>
      <c r="B844" s="15" t="s">
        <v>522</v>
      </c>
      <c r="C844" s="15" t="s">
        <v>1823</v>
      </c>
      <c r="D844" s="15" t="str">
        <f aca="false">IF(ISNUMBER(MATCH(B844,Pages!$B$2:$B$98,0)),"Yes","Check")</f>
        <v>Yes</v>
      </c>
    </row>
    <row r="845" customFormat="false" ht="15" hidden="false" customHeight="false" outlineLevel="0" collapsed="false">
      <c r="A845" s="15" t="s">
        <v>671</v>
      </c>
      <c r="B845" s="15" t="s">
        <v>846</v>
      </c>
      <c r="C845" s="15" t="s">
        <v>1826</v>
      </c>
      <c r="D845" s="15" t="str">
        <f aca="false">IF(ISNUMBER(MATCH(B845,Pages!$B$2:$B$98,0)),"Yes","Check")</f>
        <v>Yes</v>
      </c>
    </row>
    <row r="846" customFormat="false" ht="15" hidden="false" customHeight="false" outlineLevel="0" collapsed="false">
      <c r="A846" s="15" t="s">
        <v>671</v>
      </c>
      <c r="B846" s="15" t="s">
        <v>450</v>
      </c>
      <c r="C846" s="15" t="s">
        <v>1482</v>
      </c>
      <c r="D846" s="15" t="str">
        <f aca="false">IF(ISNUMBER(MATCH(B846,Pages!$B$2:$B$98,0)),"Yes","Check")</f>
        <v>Yes</v>
      </c>
    </row>
    <row r="847" customFormat="false" ht="15" hidden="false" customHeight="false" outlineLevel="0" collapsed="false">
      <c r="A847" s="15" t="s">
        <v>671</v>
      </c>
      <c r="B847" s="15" t="s">
        <v>540</v>
      </c>
      <c r="C847" s="15" t="s">
        <v>1634</v>
      </c>
      <c r="D847" s="15" t="str">
        <f aca="false">IF(ISNUMBER(MATCH(B847,Pages!$B$2:$B$98,0)),"Yes","Check")</f>
        <v>Yes</v>
      </c>
    </row>
    <row r="848" customFormat="false" ht="15" hidden="false" customHeight="false" outlineLevel="0" collapsed="false">
      <c r="A848" s="15" t="s">
        <v>671</v>
      </c>
      <c r="B848" s="15" t="s">
        <v>116</v>
      </c>
      <c r="C848" s="15" t="s">
        <v>1605</v>
      </c>
      <c r="D848" s="15" t="str">
        <f aca="false">IF(ISNUMBER(MATCH(B848,Pages!$B$2:$B$98,0)),"Yes","Check")</f>
        <v>Yes</v>
      </c>
    </row>
    <row r="849" customFormat="false" ht="15" hidden="false" customHeight="false" outlineLevel="0" collapsed="false">
      <c r="A849" s="15" t="s">
        <v>671</v>
      </c>
      <c r="B849" s="15" t="s">
        <v>450</v>
      </c>
      <c r="C849" s="15" t="s">
        <v>1630</v>
      </c>
      <c r="D849" s="15" t="str">
        <f aca="false">IF(ISNUMBER(MATCH(B849,Pages!$B$2:$B$98,0)),"Yes","Check")</f>
        <v>Yes</v>
      </c>
    </row>
    <row r="850" customFormat="false" ht="23.85" hidden="false" customHeight="false" outlineLevel="0" collapsed="false">
      <c r="A850" s="15" t="s">
        <v>671</v>
      </c>
      <c r="B850" s="15" t="s">
        <v>513</v>
      </c>
      <c r="C850" s="15" t="s">
        <v>1827</v>
      </c>
      <c r="D850" s="15" t="str">
        <f aca="false">IF(ISNUMBER(MATCH(B850,Pages!$B$2:$B$98,0)),"Yes","Check")</f>
        <v>Yes</v>
      </c>
    </row>
    <row r="851" customFormat="false" ht="23.85" hidden="false" customHeight="false" outlineLevel="0" collapsed="false">
      <c r="A851" s="15" t="s">
        <v>671</v>
      </c>
      <c r="B851" s="15" t="s">
        <v>522</v>
      </c>
      <c r="C851" s="15" t="s">
        <v>1720</v>
      </c>
      <c r="D851" s="15" t="str">
        <f aca="false">IF(ISNUMBER(MATCH(B851,Pages!$B$2:$B$98,0)),"Yes","Check")</f>
        <v>Yes</v>
      </c>
    </row>
    <row r="852" customFormat="false" ht="15" hidden="false" customHeight="false" outlineLevel="0" collapsed="false">
      <c r="A852" s="15" t="s">
        <v>671</v>
      </c>
      <c r="B852" s="15" t="s">
        <v>748</v>
      </c>
      <c r="C852" s="15" t="s">
        <v>1616</v>
      </c>
      <c r="D852" s="15" t="str">
        <f aca="false">IF(ISNUMBER(MATCH(B852,Pages!$B$2:$B$98,0)),"Yes","Check")</f>
        <v>Yes</v>
      </c>
    </row>
    <row r="853" customFormat="false" ht="15" hidden="false" customHeight="false" outlineLevel="0" collapsed="false">
      <c r="A853" s="15" t="s">
        <v>671</v>
      </c>
      <c r="B853" s="15" t="s">
        <v>620</v>
      </c>
      <c r="C853" s="15" t="s">
        <v>1730</v>
      </c>
      <c r="D853" s="15" t="str">
        <f aca="false">IF(ISNUMBER(MATCH(B853,Pages!$B$2:$B$98,0)),"Yes","Check")</f>
        <v>Yes</v>
      </c>
    </row>
    <row r="854" customFormat="false" ht="15" hidden="false" customHeight="false" outlineLevel="0" collapsed="false">
      <c r="A854" s="15" t="s">
        <v>671</v>
      </c>
      <c r="B854" s="15" t="s">
        <v>116</v>
      </c>
      <c r="C854" s="15" t="s">
        <v>1483</v>
      </c>
      <c r="D854" s="15" t="str">
        <f aca="false">IF(ISNUMBER(MATCH(B854,Pages!$B$2:$B$98,0)),"Yes","Check")</f>
        <v>Yes</v>
      </c>
    </row>
    <row r="855" customFormat="false" ht="15" hidden="false" customHeight="false" outlineLevel="0" collapsed="false">
      <c r="A855" s="15" t="s">
        <v>679</v>
      </c>
      <c r="B855" s="15" t="s">
        <v>257</v>
      </c>
      <c r="C855" s="15" t="s">
        <v>1800</v>
      </c>
      <c r="D855" s="15" t="str">
        <f aca="false">IF(ISNUMBER(MATCH(B855,Pages!$B$2:$B$98,0)),"Yes","Check")</f>
        <v>Yes</v>
      </c>
    </row>
    <row r="856" customFormat="false" ht="15" hidden="false" customHeight="false" outlineLevel="0" collapsed="false">
      <c r="A856" s="15" t="s">
        <v>679</v>
      </c>
      <c r="B856" s="15" t="s">
        <v>349</v>
      </c>
      <c r="C856" s="15" t="s">
        <v>1828</v>
      </c>
      <c r="D856" s="15" t="str">
        <f aca="false">IF(ISNUMBER(MATCH(B856,Pages!$B$2:$B$98,0)),"Yes","Check")</f>
        <v>Yes</v>
      </c>
    </row>
    <row r="857" customFormat="false" ht="15" hidden="false" customHeight="false" outlineLevel="0" collapsed="false">
      <c r="A857" s="15" t="s">
        <v>679</v>
      </c>
      <c r="B857" s="15" t="s">
        <v>183</v>
      </c>
      <c r="C857" s="15" t="s">
        <v>1829</v>
      </c>
      <c r="D857" s="15" t="str">
        <f aca="false">IF(ISNUMBER(MATCH(B857,Pages!$B$2:$B$98,0)),"Yes","Check")</f>
        <v>Yes</v>
      </c>
    </row>
    <row r="858" customFormat="false" ht="15" hidden="false" customHeight="false" outlineLevel="0" collapsed="false">
      <c r="A858" s="15" t="s">
        <v>679</v>
      </c>
      <c r="B858" s="15" t="s">
        <v>195</v>
      </c>
      <c r="C858" s="15" t="s">
        <v>1811</v>
      </c>
      <c r="D858" s="15" t="str">
        <f aca="false">IF(ISNUMBER(MATCH(B858,Pages!$B$2:$B$98,0)),"Yes","Check")</f>
        <v>Yes</v>
      </c>
    </row>
    <row r="859" customFormat="false" ht="15" hidden="false" customHeight="false" outlineLevel="0" collapsed="false">
      <c r="A859" s="15" t="s">
        <v>679</v>
      </c>
      <c r="B859" s="15" t="s">
        <v>431</v>
      </c>
      <c r="C859" s="15" t="s">
        <v>1731</v>
      </c>
      <c r="D859" s="15" t="str">
        <f aca="false">IF(ISNUMBER(MATCH(B859,Pages!$B$2:$B$98,0)),"Yes","Check")</f>
        <v>Yes</v>
      </c>
    </row>
    <row r="860" customFormat="false" ht="15" hidden="false" customHeight="false" outlineLevel="0" collapsed="false">
      <c r="A860" s="15" t="s">
        <v>679</v>
      </c>
      <c r="B860" s="15" t="s">
        <v>837</v>
      </c>
      <c r="C860" s="15" t="s">
        <v>1754</v>
      </c>
      <c r="D860" s="15" t="str">
        <f aca="false">IF(ISNUMBER(MATCH(B860,Pages!$B$2:$B$98,0)),"Yes","Check")</f>
        <v>Yes</v>
      </c>
    </row>
    <row r="861" customFormat="false" ht="15" hidden="false" customHeight="false" outlineLevel="0" collapsed="false">
      <c r="A861" s="15" t="s">
        <v>679</v>
      </c>
      <c r="B861" s="15" t="s">
        <v>748</v>
      </c>
      <c r="C861" s="15" t="s">
        <v>1654</v>
      </c>
      <c r="D861" s="15" t="str">
        <f aca="false">IF(ISNUMBER(MATCH(B861,Pages!$B$2:$B$98,0)),"Yes","Check")</f>
        <v>Yes</v>
      </c>
    </row>
    <row r="862" customFormat="false" ht="15" hidden="false" customHeight="false" outlineLevel="0" collapsed="false">
      <c r="A862" s="15" t="s">
        <v>679</v>
      </c>
      <c r="B862" s="15" t="s">
        <v>116</v>
      </c>
      <c r="C862" s="15" t="s">
        <v>1605</v>
      </c>
      <c r="D862" s="15" t="str">
        <f aca="false">IF(ISNUMBER(MATCH(B862,Pages!$B$2:$B$98,0)),"Yes","Check")</f>
        <v>Yes</v>
      </c>
    </row>
    <row r="863" customFormat="false" ht="15" hidden="false" customHeight="false" outlineLevel="0" collapsed="false">
      <c r="A863" s="15" t="s">
        <v>679</v>
      </c>
      <c r="B863" s="15" t="s">
        <v>257</v>
      </c>
      <c r="C863" s="15" t="s">
        <v>1763</v>
      </c>
      <c r="D863" s="15" t="str">
        <f aca="false">IF(ISNUMBER(MATCH(B863,Pages!$B$2:$B$98,0)),"Yes","Check")</f>
        <v>Yes</v>
      </c>
    </row>
    <row r="864" customFormat="false" ht="15" hidden="false" customHeight="false" outlineLevel="0" collapsed="false">
      <c r="A864" s="15" t="s">
        <v>679</v>
      </c>
      <c r="B864" s="15" t="s">
        <v>431</v>
      </c>
      <c r="C864" s="15" t="s">
        <v>1732</v>
      </c>
      <c r="D864" s="15" t="str">
        <f aca="false">IF(ISNUMBER(MATCH(B864,Pages!$B$2:$B$98,0)),"Yes","Check")</f>
        <v>Yes</v>
      </c>
    </row>
    <row r="865" customFormat="false" ht="15" hidden="false" customHeight="false" outlineLevel="0" collapsed="false">
      <c r="A865" s="15" t="s">
        <v>679</v>
      </c>
      <c r="B865" s="15" t="s">
        <v>748</v>
      </c>
      <c r="C865" s="15" t="s">
        <v>1616</v>
      </c>
      <c r="D865" s="15" t="str">
        <f aca="false">IF(ISNUMBER(MATCH(B865,Pages!$B$2:$B$98,0)),"Yes","Check")</f>
        <v>Yes</v>
      </c>
    </row>
    <row r="866" customFormat="false" ht="23.85" hidden="false" customHeight="false" outlineLevel="0" collapsed="false">
      <c r="A866" s="15" t="s">
        <v>679</v>
      </c>
      <c r="B866" s="15" t="s">
        <v>837</v>
      </c>
      <c r="C866" s="15" t="s">
        <v>1696</v>
      </c>
      <c r="D866" s="15" t="str">
        <f aca="false">IF(ISNUMBER(MATCH(B866,Pages!$B$2:$B$98,0)),"Yes","Check")</f>
        <v>Yes</v>
      </c>
    </row>
    <row r="867" customFormat="false" ht="15" hidden="false" customHeight="false" outlineLevel="0" collapsed="false">
      <c r="A867" s="15" t="s">
        <v>679</v>
      </c>
      <c r="B867" s="15" t="s">
        <v>792</v>
      </c>
      <c r="C867" s="15" t="s">
        <v>1626</v>
      </c>
      <c r="D867" s="15" t="str">
        <f aca="false">IF(ISNUMBER(MATCH(B867,Pages!$B$2:$B$98,0)),"Yes","Check")</f>
        <v>Yes</v>
      </c>
    </row>
    <row r="868" customFormat="false" ht="15" hidden="false" customHeight="false" outlineLevel="0" collapsed="false">
      <c r="A868" s="15" t="s">
        <v>679</v>
      </c>
      <c r="B868" s="15" t="s">
        <v>116</v>
      </c>
      <c r="C868" s="15" t="s">
        <v>1483</v>
      </c>
      <c r="D868" s="15" t="str">
        <f aca="false">IF(ISNUMBER(MATCH(B868,Pages!$B$2:$B$98,0)),"Yes","Check")</f>
        <v>Yes</v>
      </c>
    </row>
    <row r="869" customFormat="false" ht="15" hidden="false" customHeight="false" outlineLevel="0" collapsed="false">
      <c r="A869" s="15" t="s">
        <v>688</v>
      </c>
      <c r="B869" s="15" t="s">
        <v>377</v>
      </c>
      <c r="C869" s="15" t="s">
        <v>1830</v>
      </c>
      <c r="D869" s="15" t="str">
        <f aca="false">IF(ISNUMBER(MATCH(B869,Pages!$B$2:$B$98,0)),"Yes","Check")</f>
        <v>Yes</v>
      </c>
    </row>
    <row r="870" customFormat="false" ht="15" hidden="false" customHeight="false" outlineLevel="0" collapsed="false">
      <c r="A870" s="15" t="s">
        <v>688</v>
      </c>
      <c r="B870" s="15" t="s">
        <v>740</v>
      </c>
      <c r="C870" s="15" t="s">
        <v>1709</v>
      </c>
      <c r="D870" s="15" t="str">
        <f aca="false">IF(ISNUMBER(MATCH(B870,Pages!$B$2:$B$98,0)),"Yes","Check")</f>
        <v>Yes</v>
      </c>
    </row>
    <row r="871" customFormat="false" ht="15" hidden="false" customHeight="false" outlineLevel="0" collapsed="false">
      <c r="A871" s="15" t="s">
        <v>688</v>
      </c>
      <c r="B871" s="15" t="s">
        <v>531</v>
      </c>
      <c r="C871" s="15" t="s">
        <v>1686</v>
      </c>
      <c r="D871" s="15" t="str">
        <f aca="false">IF(ISNUMBER(MATCH(B871,Pages!$B$2:$B$98,0)),"Yes","Check")</f>
        <v>Yes</v>
      </c>
    </row>
    <row r="872" customFormat="false" ht="15" hidden="false" customHeight="false" outlineLevel="0" collapsed="false">
      <c r="A872" s="15" t="s">
        <v>688</v>
      </c>
      <c r="B872" s="15" t="s">
        <v>837</v>
      </c>
      <c r="C872" s="15" t="s">
        <v>1619</v>
      </c>
      <c r="D872" s="15" t="str">
        <f aca="false">IF(ISNUMBER(MATCH(B872,Pages!$B$2:$B$98,0)),"Yes","Check")</f>
        <v>Yes</v>
      </c>
    </row>
    <row r="873" customFormat="false" ht="15" hidden="false" customHeight="false" outlineLevel="0" collapsed="false">
      <c r="A873" s="15" t="s">
        <v>688</v>
      </c>
      <c r="B873" s="15" t="s">
        <v>431</v>
      </c>
      <c r="C873" s="15" t="s">
        <v>1731</v>
      </c>
      <c r="D873" s="15" t="str">
        <f aca="false">IF(ISNUMBER(MATCH(B873,Pages!$B$2:$B$98,0)),"Yes","Check")</f>
        <v>Yes</v>
      </c>
    </row>
    <row r="874" customFormat="false" ht="15" hidden="false" customHeight="false" outlineLevel="0" collapsed="false">
      <c r="A874" s="15" t="s">
        <v>688</v>
      </c>
      <c r="B874" s="15" t="s">
        <v>183</v>
      </c>
      <c r="C874" s="15" t="s">
        <v>1487</v>
      </c>
      <c r="D874" s="15" t="str">
        <f aca="false">IF(ISNUMBER(MATCH(B874,Pages!$B$2:$B$98,0)),"Yes","Check")</f>
        <v>Yes</v>
      </c>
    </row>
    <row r="875" customFormat="false" ht="15" hidden="false" customHeight="false" outlineLevel="0" collapsed="false">
      <c r="A875" s="15" t="s">
        <v>688</v>
      </c>
      <c r="B875" s="15" t="s">
        <v>116</v>
      </c>
      <c r="C875" s="15" t="s">
        <v>1605</v>
      </c>
      <c r="D875" s="15" t="str">
        <f aca="false">IF(ISNUMBER(MATCH(B875,Pages!$B$2:$B$98,0)),"Yes","Check")</f>
        <v>Yes</v>
      </c>
    </row>
    <row r="876" customFormat="false" ht="23.85" hidden="false" customHeight="false" outlineLevel="0" collapsed="false">
      <c r="A876" s="15" t="s">
        <v>688</v>
      </c>
      <c r="B876" s="15" t="s">
        <v>377</v>
      </c>
      <c r="C876" s="15" t="s">
        <v>1729</v>
      </c>
      <c r="D876" s="15" t="str">
        <f aca="false">IF(ISNUMBER(MATCH(B876,Pages!$B$2:$B$98,0)),"Yes","Check")</f>
        <v>Yes</v>
      </c>
    </row>
    <row r="877" customFormat="false" ht="15" hidden="false" customHeight="false" outlineLevel="0" collapsed="false">
      <c r="A877" s="15" t="s">
        <v>688</v>
      </c>
      <c r="B877" s="15" t="s">
        <v>431</v>
      </c>
      <c r="C877" s="15" t="s">
        <v>1732</v>
      </c>
      <c r="D877" s="15" t="str">
        <f aca="false">IF(ISNUMBER(MATCH(B877,Pages!$B$2:$B$98,0)),"Yes","Check")</f>
        <v>Yes</v>
      </c>
    </row>
    <row r="878" customFormat="false" ht="23.85" hidden="false" customHeight="false" outlineLevel="0" collapsed="false">
      <c r="A878" s="15" t="s">
        <v>688</v>
      </c>
      <c r="B878" s="15" t="s">
        <v>837</v>
      </c>
      <c r="C878" s="15" t="s">
        <v>1696</v>
      </c>
      <c r="D878" s="15" t="str">
        <f aca="false">IF(ISNUMBER(MATCH(B878,Pages!$B$2:$B$98,0)),"Yes","Check")</f>
        <v>Yes</v>
      </c>
    </row>
    <row r="879" customFormat="false" ht="15" hidden="false" customHeight="false" outlineLevel="0" collapsed="false">
      <c r="A879" s="15" t="s">
        <v>688</v>
      </c>
      <c r="B879" s="15" t="s">
        <v>740</v>
      </c>
      <c r="C879" s="15" t="s">
        <v>1662</v>
      </c>
      <c r="D879" s="15" t="str">
        <f aca="false">IF(ISNUMBER(MATCH(B879,Pages!$B$2:$B$98,0)),"Yes","Check")</f>
        <v>Yes</v>
      </c>
    </row>
    <row r="880" customFormat="false" ht="15" hidden="false" customHeight="false" outlineLevel="0" collapsed="false">
      <c r="A880" s="15" t="s">
        <v>688</v>
      </c>
      <c r="B880" s="15" t="s">
        <v>792</v>
      </c>
      <c r="C880" s="15" t="s">
        <v>1626</v>
      </c>
      <c r="D880" s="15" t="str">
        <f aca="false">IF(ISNUMBER(MATCH(B880,Pages!$B$2:$B$98,0)),"Yes","Check")</f>
        <v>Yes</v>
      </c>
    </row>
    <row r="881" customFormat="false" ht="15" hidden="false" customHeight="false" outlineLevel="0" collapsed="false">
      <c r="A881" s="15" t="s">
        <v>688</v>
      </c>
      <c r="B881" s="15" t="s">
        <v>116</v>
      </c>
      <c r="C881" s="15" t="s">
        <v>1483</v>
      </c>
      <c r="D881" s="15" t="str">
        <f aca="false">IF(ISNUMBER(MATCH(B881,Pages!$B$2:$B$98,0)),"Yes","Check")</f>
        <v>Yes</v>
      </c>
    </row>
    <row r="882" customFormat="false" ht="15" hidden="false" customHeight="false" outlineLevel="0" collapsed="false">
      <c r="A882" s="15" t="s">
        <v>697</v>
      </c>
      <c r="B882" s="15" t="s">
        <v>195</v>
      </c>
      <c r="C882" s="15" t="s">
        <v>1831</v>
      </c>
      <c r="D882" s="15" t="str">
        <f aca="false">IF(ISNUMBER(MATCH(B882,Pages!$B$2:$B$98,0)),"Yes","Check")</f>
        <v>Yes</v>
      </c>
    </row>
    <row r="883" customFormat="false" ht="15" hidden="false" customHeight="false" outlineLevel="0" collapsed="false">
      <c r="A883" s="15" t="s">
        <v>697</v>
      </c>
      <c r="B883" s="15" t="s">
        <v>217</v>
      </c>
      <c r="C883" s="15" t="s">
        <v>1669</v>
      </c>
      <c r="D883" s="15" t="str">
        <f aca="false">IF(ISNUMBER(MATCH(B883,Pages!$B$2:$B$98,0)),"Yes","Check")</f>
        <v>Yes</v>
      </c>
    </row>
    <row r="884" customFormat="false" ht="15" hidden="false" customHeight="false" outlineLevel="0" collapsed="false">
      <c r="A884" s="15" t="s">
        <v>697</v>
      </c>
      <c r="B884" s="15" t="s">
        <v>183</v>
      </c>
      <c r="C884" s="15" t="s">
        <v>1832</v>
      </c>
      <c r="D884" s="15" t="str">
        <f aca="false">IF(ISNUMBER(MATCH(B884,Pages!$B$2:$B$98,0)),"Yes","Check")</f>
        <v>Yes</v>
      </c>
    </row>
    <row r="885" customFormat="false" ht="15" hidden="false" customHeight="false" outlineLevel="0" collapsed="false">
      <c r="A885" s="15" t="s">
        <v>697</v>
      </c>
      <c r="B885" s="15" t="s">
        <v>908</v>
      </c>
      <c r="C885" s="15" t="s">
        <v>1620</v>
      </c>
      <c r="D885" s="15" t="str">
        <f aca="false">IF(ISNUMBER(MATCH(B885,Pages!$B$2:$B$98,0)),"Yes","Check")</f>
        <v>Yes</v>
      </c>
    </row>
    <row r="886" customFormat="false" ht="15" hidden="false" customHeight="false" outlineLevel="0" collapsed="false">
      <c r="A886" s="15" t="s">
        <v>697</v>
      </c>
      <c r="B886" s="15" t="s">
        <v>757</v>
      </c>
      <c r="C886" s="15" t="s">
        <v>1761</v>
      </c>
      <c r="D886" s="15" t="str">
        <f aca="false">IF(ISNUMBER(MATCH(B886,Pages!$B$2:$B$98,0)),"Yes","Check")</f>
        <v>Yes</v>
      </c>
    </row>
    <row r="887" customFormat="false" ht="15" hidden="false" customHeight="false" outlineLevel="0" collapsed="false">
      <c r="A887" s="15" t="s">
        <v>697</v>
      </c>
      <c r="B887" s="15" t="s">
        <v>792</v>
      </c>
      <c r="C887" s="15" t="s">
        <v>1621</v>
      </c>
      <c r="D887" s="15" t="str">
        <f aca="false">IF(ISNUMBER(MATCH(B887,Pages!$B$2:$B$98,0)),"Yes","Check")</f>
        <v>Yes</v>
      </c>
    </row>
    <row r="888" customFormat="false" ht="15" hidden="false" customHeight="false" outlineLevel="0" collapsed="false">
      <c r="A888" s="15" t="s">
        <v>697</v>
      </c>
      <c r="B888" s="15" t="s">
        <v>431</v>
      </c>
      <c r="C888" s="15" t="s">
        <v>1731</v>
      </c>
      <c r="D888" s="15" t="str">
        <f aca="false">IF(ISNUMBER(MATCH(B888,Pages!$B$2:$B$98,0)),"Yes","Check")</f>
        <v>Yes</v>
      </c>
    </row>
    <row r="889" customFormat="false" ht="15" hidden="false" customHeight="false" outlineLevel="0" collapsed="false">
      <c r="A889" s="15" t="s">
        <v>697</v>
      </c>
      <c r="B889" s="15" t="s">
        <v>116</v>
      </c>
      <c r="C889" s="15" t="s">
        <v>1605</v>
      </c>
      <c r="D889" s="15" t="str">
        <f aca="false">IF(ISNUMBER(MATCH(B889,Pages!$B$2:$B$98,0)),"Yes","Check")</f>
        <v>Yes</v>
      </c>
    </row>
    <row r="890" customFormat="false" ht="15" hidden="false" customHeight="false" outlineLevel="0" collapsed="false">
      <c r="A890" s="15" t="s">
        <v>697</v>
      </c>
      <c r="B890" s="15" t="s">
        <v>217</v>
      </c>
      <c r="C890" s="15" t="s">
        <v>1724</v>
      </c>
      <c r="D890" s="15" t="str">
        <f aca="false">IF(ISNUMBER(MATCH(B890,Pages!$B$2:$B$98,0)),"Yes","Check")</f>
        <v>Yes</v>
      </c>
    </row>
    <row r="891" customFormat="false" ht="15" hidden="false" customHeight="false" outlineLevel="0" collapsed="false">
      <c r="A891" s="15" t="s">
        <v>697</v>
      </c>
      <c r="B891" s="15" t="s">
        <v>431</v>
      </c>
      <c r="C891" s="15" t="s">
        <v>1732</v>
      </c>
      <c r="D891" s="15" t="str">
        <f aca="false">IF(ISNUMBER(MATCH(B891,Pages!$B$2:$B$98,0)),"Yes","Check")</f>
        <v>Yes</v>
      </c>
    </row>
    <row r="892" customFormat="false" ht="15" hidden="false" customHeight="false" outlineLevel="0" collapsed="false">
      <c r="A892" s="15" t="s">
        <v>697</v>
      </c>
      <c r="B892" s="15" t="s">
        <v>757</v>
      </c>
      <c r="C892" s="15" t="s">
        <v>1608</v>
      </c>
      <c r="D892" s="15" t="str">
        <f aca="false">IF(ISNUMBER(MATCH(B892,Pages!$B$2:$B$98,0)),"Yes","Check")</f>
        <v>Yes</v>
      </c>
    </row>
    <row r="893" customFormat="false" ht="15" hidden="false" customHeight="false" outlineLevel="0" collapsed="false">
      <c r="A893" s="15" t="s">
        <v>697</v>
      </c>
      <c r="B893" s="15" t="s">
        <v>792</v>
      </c>
      <c r="C893" s="15" t="s">
        <v>1626</v>
      </c>
      <c r="D893" s="15" t="str">
        <f aca="false">IF(ISNUMBER(MATCH(B893,Pages!$B$2:$B$98,0)),"Yes","Check")</f>
        <v>Yes</v>
      </c>
    </row>
    <row r="894" customFormat="false" ht="15" hidden="false" customHeight="false" outlineLevel="0" collapsed="false">
      <c r="A894" s="15" t="s">
        <v>697</v>
      </c>
      <c r="B894" s="15" t="s">
        <v>908</v>
      </c>
      <c r="C894" s="15" t="s">
        <v>1627</v>
      </c>
      <c r="D894" s="15" t="str">
        <f aca="false">IF(ISNUMBER(MATCH(B894,Pages!$B$2:$B$98,0)),"Yes","Check")</f>
        <v>Yes</v>
      </c>
    </row>
    <row r="895" customFormat="false" ht="15" hidden="false" customHeight="false" outlineLevel="0" collapsed="false">
      <c r="A895" s="15" t="s">
        <v>697</v>
      </c>
      <c r="B895" s="15" t="s">
        <v>748</v>
      </c>
      <c r="C895" s="15" t="s">
        <v>1616</v>
      </c>
      <c r="D895" s="15" t="str">
        <f aca="false">IF(ISNUMBER(MATCH(B895,Pages!$B$2:$B$98,0)),"Yes","Check")</f>
        <v>Yes</v>
      </c>
    </row>
    <row r="896" customFormat="false" ht="15" hidden="false" customHeight="false" outlineLevel="0" collapsed="false">
      <c r="A896" s="15" t="s">
        <v>697</v>
      </c>
      <c r="B896" s="15" t="s">
        <v>116</v>
      </c>
      <c r="C896" s="15" t="s">
        <v>1483</v>
      </c>
      <c r="D896" s="15" t="str">
        <f aca="false">IF(ISNUMBER(MATCH(B896,Pages!$B$2:$B$98,0)),"Yes","Check")</f>
        <v>Yes</v>
      </c>
    </row>
    <row r="897" customFormat="false" ht="15" hidden="false" customHeight="false" outlineLevel="0" collapsed="false">
      <c r="A897" s="15" t="s">
        <v>705</v>
      </c>
      <c r="B897" s="15" t="s">
        <v>195</v>
      </c>
      <c r="C897" s="15" t="s">
        <v>1833</v>
      </c>
      <c r="D897" s="15" t="str">
        <f aca="false">IF(ISNUMBER(MATCH(B897,Pages!$B$2:$B$98,0)),"Yes","Check")</f>
        <v>Yes</v>
      </c>
    </row>
    <row r="898" customFormat="false" ht="15" hidden="false" customHeight="false" outlineLevel="0" collapsed="false">
      <c r="A898" s="15" t="s">
        <v>705</v>
      </c>
      <c r="B898" s="15" t="s">
        <v>331</v>
      </c>
      <c r="C898" s="15" t="s">
        <v>1500</v>
      </c>
      <c r="D898" s="15" t="str">
        <f aca="false">IF(ISNUMBER(MATCH(B898,Pages!$B$2:$B$98,0)),"Yes","Check")</f>
        <v>Yes</v>
      </c>
    </row>
    <row r="899" customFormat="false" ht="15" hidden="false" customHeight="false" outlineLevel="0" collapsed="false">
      <c r="A899" s="15" t="s">
        <v>705</v>
      </c>
      <c r="B899" s="15" t="s">
        <v>183</v>
      </c>
      <c r="C899" s="15" t="s">
        <v>1834</v>
      </c>
      <c r="D899" s="15" t="str">
        <f aca="false">IF(ISNUMBER(MATCH(B899,Pages!$B$2:$B$98,0)),"Yes","Check")</f>
        <v>Yes</v>
      </c>
    </row>
    <row r="900" customFormat="false" ht="15" hidden="false" customHeight="false" outlineLevel="0" collapsed="false">
      <c r="A900" s="15" t="s">
        <v>705</v>
      </c>
      <c r="B900" s="15" t="s">
        <v>540</v>
      </c>
      <c r="C900" s="15" t="s">
        <v>1634</v>
      </c>
      <c r="D900" s="15" t="str">
        <f aca="false">IF(ISNUMBER(MATCH(B900,Pages!$B$2:$B$98,0)),"Yes","Check")</f>
        <v>Yes</v>
      </c>
    </row>
    <row r="901" customFormat="false" ht="15" hidden="false" customHeight="false" outlineLevel="0" collapsed="false">
      <c r="A901" s="15" t="s">
        <v>705</v>
      </c>
      <c r="B901" s="15" t="s">
        <v>757</v>
      </c>
      <c r="C901" s="15" t="s">
        <v>1813</v>
      </c>
      <c r="D901" s="15" t="str">
        <f aca="false">IF(ISNUMBER(MATCH(B901,Pages!$B$2:$B$98,0)),"Yes","Check")</f>
        <v>Yes</v>
      </c>
    </row>
    <row r="902" customFormat="false" ht="15" hidden="false" customHeight="false" outlineLevel="0" collapsed="false">
      <c r="A902" s="15" t="s">
        <v>705</v>
      </c>
      <c r="B902" s="15" t="s">
        <v>557</v>
      </c>
      <c r="C902" s="15" t="s">
        <v>1788</v>
      </c>
      <c r="D902" s="15" t="str">
        <f aca="false">IF(ISNUMBER(MATCH(B902,Pages!$B$2:$B$98,0)),"Yes","Check")</f>
        <v>Yes</v>
      </c>
    </row>
    <row r="903" customFormat="false" ht="15" hidden="false" customHeight="false" outlineLevel="0" collapsed="false">
      <c r="A903" s="15" t="s">
        <v>705</v>
      </c>
      <c r="B903" s="15" t="s">
        <v>116</v>
      </c>
      <c r="C903" s="15" t="s">
        <v>1605</v>
      </c>
      <c r="D903" s="15" t="str">
        <f aca="false">IF(ISNUMBER(MATCH(B903,Pages!$B$2:$B$98,0)),"Yes","Check")</f>
        <v>Yes</v>
      </c>
    </row>
    <row r="904" customFormat="false" ht="15" hidden="false" customHeight="false" outlineLevel="0" collapsed="false">
      <c r="A904" s="15" t="s">
        <v>705</v>
      </c>
      <c r="B904" s="15" t="s">
        <v>557</v>
      </c>
      <c r="C904" s="15" t="s">
        <v>1835</v>
      </c>
      <c r="D904" s="15" t="str">
        <f aca="false">IF(ISNUMBER(MATCH(B904,Pages!$B$2:$B$98,0)),"Yes","Check")</f>
        <v>Yes</v>
      </c>
    </row>
    <row r="905" customFormat="false" ht="15" hidden="false" customHeight="false" outlineLevel="0" collapsed="false">
      <c r="A905" s="15" t="s">
        <v>705</v>
      </c>
      <c r="B905" s="15" t="s">
        <v>757</v>
      </c>
      <c r="C905" s="15" t="s">
        <v>1608</v>
      </c>
      <c r="D905" s="15" t="str">
        <f aca="false">IF(ISNUMBER(MATCH(B905,Pages!$B$2:$B$98,0)),"Yes","Check")</f>
        <v>Yes</v>
      </c>
    </row>
    <row r="906" customFormat="false" ht="15" hidden="false" customHeight="false" outlineLevel="0" collapsed="false">
      <c r="A906" s="15" t="s">
        <v>705</v>
      </c>
      <c r="B906" s="15" t="s">
        <v>722</v>
      </c>
      <c r="C906" s="15" t="s">
        <v>1609</v>
      </c>
      <c r="D906" s="15" t="str">
        <f aca="false">IF(ISNUMBER(MATCH(B906,Pages!$B$2:$B$98,0)),"Yes","Check")</f>
        <v>Yes</v>
      </c>
    </row>
    <row r="907" customFormat="false" ht="15" hidden="false" customHeight="false" outlineLevel="0" collapsed="false">
      <c r="A907" s="15" t="s">
        <v>705</v>
      </c>
      <c r="B907" s="15" t="s">
        <v>116</v>
      </c>
      <c r="C907" s="15" t="s">
        <v>1483</v>
      </c>
      <c r="D907" s="15" t="str">
        <f aca="false">IF(ISNUMBER(MATCH(B907,Pages!$B$2:$B$98,0)),"Yes","Check")</f>
        <v>Yes</v>
      </c>
    </row>
    <row r="908" customFormat="false" ht="15" hidden="false" customHeight="false" outlineLevel="0" collapsed="false">
      <c r="A908" s="15" t="s">
        <v>713</v>
      </c>
      <c r="B908" s="15" t="s">
        <v>757</v>
      </c>
      <c r="C908" s="15" t="s">
        <v>1813</v>
      </c>
      <c r="D908" s="15" t="str">
        <f aca="false">IF(ISNUMBER(MATCH(B908,Pages!$B$2:$B$98,0)),"Yes","Check")</f>
        <v>Yes</v>
      </c>
    </row>
    <row r="909" customFormat="false" ht="15" hidden="false" customHeight="false" outlineLevel="0" collapsed="false">
      <c r="A909" s="15" t="s">
        <v>713</v>
      </c>
      <c r="B909" s="15" t="s">
        <v>722</v>
      </c>
      <c r="C909" s="15" t="s">
        <v>1493</v>
      </c>
      <c r="D909" s="15" t="str">
        <f aca="false">IF(ISNUMBER(MATCH(B909,Pages!$B$2:$B$98,0)),"Yes","Check")</f>
        <v>Yes</v>
      </c>
    </row>
    <row r="910" customFormat="false" ht="15" hidden="false" customHeight="false" outlineLevel="0" collapsed="false">
      <c r="A910" s="15" t="s">
        <v>713</v>
      </c>
      <c r="B910" s="15" t="s">
        <v>531</v>
      </c>
      <c r="C910" s="15" t="s">
        <v>1631</v>
      </c>
      <c r="D910" s="15" t="str">
        <f aca="false">IF(ISNUMBER(MATCH(B910,Pages!$B$2:$B$98,0)),"Yes","Check")</f>
        <v>Yes</v>
      </c>
    </row>
    <row r="911" customFormat="false" ht="15" hidden="false" customHeight="false" outlineLevel="0" collapsed="false">
      <c r="A911" s="15" t="s">
        <v>713</v>
      </c>
      <c r="B911" s="15" t="s">
        <v>331</v>
      </c>
      <c r="C911" s="15" t="s">
        <v>1500</v>
      </c>
      <c r="D911" s="15" t="str">
        <f aca="false">IF(ISNUMBER(MATCH(B911,Pages!$B$2:$B$98,0)),"Yes","Check")</f>
        <v>Yes</v>
      </c>
    </row>
    <row r="912" customFormat="false" ht="15" hidden="false" customHeight="false" outlineLevel="0" collapsed="false">
      <c r="A912" s="15" t="s">
        <v>713</v>
      </c>
      <c r="B912" s="15" t="s">
        <v>195</v>
      </c>
      <c r="C912" s="15" t="s">
        <v>1502</v>
      </c>
      <c r="D912" s="15" t="str">
        <f aca="false">IF(ISNUMBER(MATCH(B912,Pages!$B$2:$B$98,0)),"Yes","Check")</f>
        <v>Yes</v>
      </c>
    </row>
    <row r="913" customFormat="false" ht="15" hidden="false" customHeight="false" outlineLevel="0" collapsed="false">
      <c r="A913" s="15" t="s">
        <v>713</v>
      </c>
      <c r="B913" s="15" t="s">
        <v>540</v>
      </c>
      <c r="C913" s="15" t="s">
        <v>1634</v>
      </c>
      <c r="D913" s="15" t="str">
        <f aca="false">IF(ISNUMBER(MATCH(B913,Pages!$B$2:$B$98,0)),"Yes","Check")</f>
        <v>Yes</v>
      </c>
    </row>
    <row r="914" customFormat="false" ht="15" hidden="false" customHeight="false" outlineLevel="0" collapsed="false">
      <c r="A914" s="15" t="s">
        <v>713</v>
      </c>
      <c r="B914" s="15" t="s">
        <v>567</v>
      </c>
      <c r="C914" s="15" t="s">
        <v>1785</v>
      </c>
      <c r="D914" s="15" t="str">
        <f aca="false">IF(ISNUMBER(MATCH(B914,Pages!$B$2:$B$98,0)),"Yes","Check")</f>
        <v>Yes</v>
      </c>
    </row>
    <row r="915" customFormat="false" ht="15" hidden="false" customHeight="false" outlineLevel="0" collapsed="false">
      <c r="A915" s="15" t="s">
        <v>713</v>
      </c>
      <c r="B915" s="15" t="s">
        <v>183</v>
      </c>
      <c r="C915" s="15" t="s">
        <v>1506</v>
      </c>
      <c r="D915" s="15" t="str">
        <f aca="false">IF(ISNUMBER(MATCH(B915,Pages!$B$2:$B$98,0)),"Yes","Check")</f>
        <v>Yes</v>
      </c>
    </row>
    <row r="916" customFormat="false" ht="15" hidden="false" customHeight="false" outlineLevel="0" collapsed="false">
      <c r="A916" s="15" t="s">
        <v>713</v>
      </c>
      <c r="B916" s="15" t="s">
        <v>116</v>
      </c>
      <c r="C916" s="15" t="s">
        <v>1605</v>
      </c>
      <c r="D916" s="15" t="str">
        <f aca="false">IF(ISNUMBER(MATCH(B916,Pages!$B$2:$B$98,0)),"Yes","Check")</f>
        <v>Yes</v>
      </c>
    </row>
    <row r="917" customFormat="false" ht="15" hidden="false" customHeight="false" outlineLevel="0" collapsed="false">
      <c r="A917" s="15" t="s">
        <v>713</v>
      </c>
      <c r="B917" s="15" t="s">
        <v>567</v>
      </c>
      <c r="C917" s="15" t="s">
        <v>1836</v>
      </c>
      <c r="D917" s="15" t="str">
        <f aca="false">IF(ISNUMBER(MATCH(B917,Pages!$B$2:$B$98,0)),"Yes","Check")</f>
        <v>Yes</v>
      </c>
    </row>
    <row r="918" customFormat="false" ht="15" hidden="false" customHeight="false" outlineLevel="0" collapsed="false">
      <c r="A918" s="15" t="s">
        <v>713</v>
      </c>
      <c r="B918" s="15" t="s">
        <v>757</v>
      </c>
      <c r="C918" s="15" t="s">
        <v>1608</v>
      </c>
      <c r="D918" s="15" t="str">
        <f aca="false">IF(ISNUMBER(MATCH(B918,Pages!$B$2:$B$98,0)),"Yes","Check")</f>
        <v>Yes</v>
      </c>
    </row>
    <row r="919" customFormat="false" ht="15" hidden="false" customHeight="false" outlineLevel="0" collapsed="false">
      <c r="A919" s="15" t="s">
        <v>713</v>
      </c>
      <c r="B919" s="15" t="s">
        <v>722</v>
      </c>
      <c r="C919" s="15" t="s">
        <v>1609</v>
      </c>
      <c r="D919" s="15" t="str">
        <f aca="false">IF(ISNUMBER(MATCH(B919,Pages!$B$2:$B$98,0)),"Yes","Check")</f>
        <v>Yes</v>
      </c>
    </row>
    <row r="920" customFormat="false" ht="15" hidden="false" customHeight="false" outlineLevel="0" collapsed="false">
      <c r="A920" s="15" t="s">
        <v>713</v>
      </c>
      <c r="B920" s="15" t="s">
        <v>116</v>
      </c>
      <c r="C920" s="15" t="s">
        <v>1483</v>
      </c>
      <c r="D920" s="15" t="str">
        <f aca="false">IF(ISNUMBER(MATCH(B920,Pages!$B$2:$B$98,0)),"Yes","Check")</f>
        <v>Yes</v>
      </c>
    </row>
    <row r="921" customFormat="false" ht="15" hidden="false" customHeight="false" outlineLevel="0" collapsed="false">
      <c r="A921" s="15" t="s">
        <v>722</v>
      </c>
      <c r="B921" s="15" t="s">
        <v>477</v>
      </c>
      <c r="C921" s="15" t="s">
        <v>1837</v>
      </c>
      <c r="D921" s="15" t="str">
        <f aca="false">IF(ISNUMBER(MATCH(B921,Pages!$B$2:$B$98,0)),"Yes","Check")</f>
        <v>Yes</v>
      </c>
    </row>
    <row r="922" customFormat="false" ht="15" hidden="false" customHeight="false" outlineLevel="0" collapsed="false">
      <c r="A922" s="15" t="s">
        <v>722</v>
      </c>
      <c r="B922" s="15" t="s">
        <v>195</v>
      </c>
      <c r="C922" s="15" t="s">
        <v>1691</v>
      </c>
      <c r="D922" s="15" t="str">
        <f aca="false">IF(ISNUMBER(MATCH(B922,Pages!$B$2:$B$98,0)),"Yes","Check")</f>
        <v>Yes</v>
      </c>
    </row>
    <row r="923" customFormat="false" ht="15" hidden="false" customHeight="false" outlineLevel="0" collapsed="false">
      <c r="A923" s="15" t="s">
        <v>722</v>
      </c>
      <c r="B923" s="15" t="s">
        <v>331</v>
      </c>
      <c r="C923" s="15" t="s">
        <v>1838</v>
      </c>
      <c r="D923" s="15" t="str">
        <f aca="false">IF(ISNUMBER(MATCH(B923,Pages!$B$2:$B$98,0)),"Yes","Check")</f>
        <v>Yes</v>
      </c>
    </row>
    <row r="924" customFormat="false" ht="15" hidden="false" customHeight="false" outlineLevel="0" collapsed="false">
      <c r="A924" s="15" t="s">
        <v>722</v>
      </c>
      <c r="B924" s="15" t="s">
        <v>908</v>
      </c>
      <c r="C924" s="15" t="s">
        <v>1693</v>
      </c>
      <c r="D924" s="15" t="str">
        <f aca="false">IF(ISNUMBER(MATCH(B924,Pages!$B$2:$B$98,0)),"Yes","Check")</f>
        <v>Yes</v>
      </c>
    </row>
    <row r="925" customFormat="false" ht="15" hidden="false" customHeight="false" outlineLevel="0" collapsed="false">
      <c r="A925" s="15" t="s">
        <v>722</v>
      </c>
      <c r="B925" s="15" t="s">
        <v>731</v>
      </c>
      <c r="C925" s="15" t="s">
        <v>1806</v>
      </c>
      <c r="D925" s="15" t="str">
        <f aca="false">IF(ISNUMBER(MATCH(B925,Pages!$B$2:$B$98,0)),"Yes","Check")</f>
        <v>Yes</v>
      </c>
    </row>
    <row r="926" customFormat="false" ht="15" hidden="false" customHeight="false" outlineLevel="0" collapsed="false">
      <c r="A926" s="15" t="s">
        <v>722</v>
      </c>
      <c r="B926" s="15" t="s">
        <v>757</v>
      </c>
      <c r="C926" s="15" t="s">
        <v>1599</v>
      </c>
      <c r="D926" s="15" t="str">
        <f aca="false">IF(ISNUMBER(MATCH(B926,Pages!$B$2:$B$98,0)),"Yes","Check")</f>
        <v>Yes</v>
      </c>
    </row>
    <row r="927" customFormat="false" ht="15" hidden="false" customHeight="false" outlineLevel="0" collapsed="false">
      <c r="A927" s="15" t="s">
        <v>722</v>
      </c>
      <c r="B927" s="15" t="s">
        <v>531</v>
      </c>
      <c r="C927" s="15" t="s">
        <v>1839</v>
      </c>
      <c r="D927" s="15" t="str">
        <f aca="false">IF(ISNUMBER(MATCH(B927,Pages!$B$2:$B$98,0)),"Yes","Check")</f>
        <v>Yes</v>
      </c>
    </row>
    <row r="928" customFormat="false" ht="15" hidden="false" customHeight="false" outlineLevel="0" collapsed="false">
      <c r="A928" s="15" t="s">
        <v>722</v>
      </c>
      <c r="B928" s="15" t="s">
        <v>540</v>
      </c>
      <c r="C928" s="15" t="s">
        <v>1703</v>
      </c>
      <c r="D928" s="15" t="str">
        <f aca="false">IF(ISNUMBER(MATCH(B928,Pages!$B$2:$B$98,0)),"Yes","Check")</f>
        <v>Yes</v>
      </c>
    </row>
    <row r="929" customFormat="false" ht="15" hidden="false" customHeight="false" outlineLevel="0" collapsed="false">
      <c r="A929" s="15" t="s">
        <v>722</v>
      </c>
      <c r="B929" s="15" t="s">
        <v>116</v>
      </c>
      <c r="C929" s="15" t="s">
        <v>1605</v>
      </c>
      <c r="D929" s="15" t="str">
        <f aca="false">IF(ISNUMBER(MATCH(B929,Pages!$B$2:$B$98,0)),"Yes","Check")</f>
        <v>Yes</v>
      </c>
    </row>
    <row r="930" customFormat="false" ht="15" hidden="false" customHeight="false" outlineLevel="0" collapsed="false">
      <c r="A930" s="15" t="s">
        <v>722</v>
      </c>
      <c r="B930" s="15" t="s">
        <v>195</v>
      </c>
      <c r="C930" s="15" t="s">
        <v>1676</v>
      </c>
      <c r="D930" s="15" t="str">
        <f aca="false">IF(ISNUMBER(MATCH(B930,Pages!$B$2:$B$98,0)),"Yes","Check")</f>
        <v>Yes</v>
      </c>
    </row>
    <row r="931" customFormat="false" ht="15" hidden="false" customHeight="false" outlineLevel="0" collapsed="false">
      <c r="A931" s="15" t="s">
        <v>722</v>
      </c>
      <c r="B931" s="15" t="s">
        <v>331</v>
      </c>
      <c r="C931" s="15" t="s">
        <v>1607</v>
      </c>
      <c r="D931" s="15" t="str">
        <f aca="false">IF(ISNUMBER(MATCH(B931,Pages!$B$2:$B$98,0)),"Yes","Check")</f>
        <v>Yes</v>
      </c>
    </row>
    <row r="932" customFormat="false" ht="23.85" hidden="false" customHeight="false" outlineLevel="0" collapsed="false">
      <c r="A932" s="15" t="s">
        <v>722</v>
      </c>
      <c r="B932" s="15" t="s">
        <v>531</v>
      </c>
      <c r="C932" s="15" t="s">
        <v>1689</v>
      </c>
      <c r="D932" s="15" t="str">
        <f aca="false">IF(ISNUMBER(MATCH(B932,Pages!$B$2:$B$98,0)),"Yes","Check")</f>
        <v>Yes</v>
      </c>
    </row>
    <row r="933" customFormat="false" ht="15" hidden="false" customHeight="false" outlineLevel="0" collapsed="false">
      <c r="A933" s="15" t="s">
        <v>722</v>
      </c>
      <c r="B933" s="15" t="s">
        <v>757</v>
      </c>
      <c r="C933" s="15" t="s">
        <v>1608</v>
      </c>
      <c r="D933" s="15" t="str">
        <f aca="false">IF(ISNUMBER(MATCH(B933,Pages!$B$2:$B$98,0)),"Yes","Check")</f>
        <v>Yes</v>
      </c>
    </row>
    <row r="934" customFormat="false" ht="15" hidden="false" customHeight="false" outlineLevel="0" collapsed="false">
      <c r="A934" s="15" t="s">
        <v>722</v>
      </c>
      <c r="B934" s="15" t="s">
        <v>748</v>
      </c>
      <c r="C934" s="15" t="s">
        <v>1616</v>
      </c>
      <c r="D934" s="15" t="str">
        <f aca="false">IF(ISNUMBER(MATCH(B934,Pages!$B$2:$B$98,0)),"Yes","Check")</f>
        <v>Yes</v>
      </c>
    </row>
    <row r="935" customFormat="false" ht="15" hidden="false" customHeight="false" outlineLevel="0" collapsed="false">
      <c r="A935" s="15" t="s">
        <v>722</v>
      </c>
      <c r="B935" s="15" t="s">
        <v>116</v>
      </c>
      <c r="C935" s="15" t="s">
        <v>1483</v>
      </c>
      <c r="D935" s="15" t="str">
        <f aca="false">IF(ISNUMBER(MATCH(B935,Pages!$B$2:$B$98,0)),"Yes","Check")</f>
        <v>Yes</v>
      </c>
    </row>
    <row r="936" customFormat="false" ht="15" hidden="false" customHeight="false" outlineLevel="0" collapsed="false">
      <c r="A936" s="15" t="s">
        <v>731</v>
      </c>
      <c r="B936" s="15" t="s">
        <v>331</v>
      </c>
      <c r="C936" s="15" t="s">
        <v>1840</v>
      </c>
      <c r="D936" s="15" t="str">
        <f aca="false">IF(ISNUMBER(MATCH(B936,Pages!$B$2:$B$98,0)),"Yes","Check")</f>
        <v>Yes</v>
      </c>
    </row>
    <row r="937" customFormat="false" ht="15" hidden="false" customHeight="false" outlineLevel="0" collapsed="false">
      <c r="A937" s="15" t="s">
        <v>731</v>
      </c>
      <c r="B937" s="15" t="s">
        <v>908</v>
      </c>
      <c r="C937" s="15" t="s">
        <v>1693</v>
      </c>
      <c r="D937" s="15" t="str">
        <f aca="false">IF(ISNUMBER(MATCH(B937,Pages!$B$2:$B$98,0)),"Yes","Check")</f>
        <v>Yes</v>
      </c>
    </row>
    <row r="938" customFormat="false" ht="15" hidden="false" customHeight="false" outlineLevel="0" collapsed="false">
      <c r="A938" s="15" t="s">
        <v>731</v>
      </c>
      <c r="B938" s="15" t="s">
        <v>810</v>
      </c>
      <c r="C938" s="15" t="s">
        <v>1698</v>
      </c>
      <c r="D938" s="15" t="str">
        <f aca="false">IF(ISNUMBER(MATCH(B938,Pages!$B$2:$B$98,0)),"Yes","Check")</f>
        <v>Yes</v>
      </c>
    </row>
    <row r="939" customFormat="false" ht="15" hidden="false" customHeight="false" outlineLevel="0" collapsed="false">
      <c r="A939" s="15" t="s">
        <v>731</v>
      </c>
      <c r="B939" s="15" t="s">
        <v>593</v>
      </c>
      <c r="C939" s="15" t="s">
        <v>1841</v>
      </c>
      <c r="D939" s="15" t="str">
        <f aca="false">IF(ISNUMBER(MATCH(B939,Pages!$B$2:$B$98,0)),"Yes","Check")</f>
        <v>Yes</v>
      </c>
    </row>
    <row r="940" customFormat="false" ht="15" hidden="false" customHeight="false" outlineLevel="0" collapsed="false">
      <c r="A940" s="15" t="s">
        <v>731</v>
      </c>
      <c r="B940" s="15" t="s">
        <v>531</v>
      </c>
      <c r="C940" s="15" t="s">
        <v>1842</v>
      </c>
      <c r="D940" s="15" t="str">
        <f aca="false">IF(ISNUMBER(MATCH(B940,Pages!$B$2:$B$98,0)),"Yes","Check")</f>
        <v>Yes</v>
      </c>
    </row>
    <row r="941" customFormat="false" ht="15" hidden="false" customHeight="false" outlineLevel="0" collapsed="false">
      <c r="A941" s="15" t="s">
        <v>731</v>
      </c>
      <c r="B941" s="15" t="s">
        <v>757</v>
      </c>
      <c r="C941" s="15" t="s">
        <v>1599</v>
      </c>
      <c r="D941" s="15" t="str">
        <f aca="false">IF(ISNUMBER(MATCH(B941,Pages!$B$2:$B$98,0)),"Yes","Check")</f>
        <v>Yes</v>
      </c>
    </row>
    <row r="942" customFormat="false" ht="15" hidden="false" customHeight="false" outlineLevel="0" collapsed="false">
      <c r="A942" s="15" t="s">
        <v>731</v>
      </c>
      <c r="B942" s="15" t="s">
        <v>722</v>
      </c>
      <c r="C942" s="15" t="s">
        <v>1493</v>
      </c>
      <c r="D942" s="15" t="str">
        <f aca="false">IF(ISNUMBER(MATCH(B942,Pages!$B$2:$B$98,0)),"Yes","Check")</f>
        <v>Yes</v>
      </c>
    </row>
    <row r="943" customFormat="false" ht="15" hidden="false" customHeight="false" outlineLevel="0" collapsed="false">
      <c r="A943" s="15" t="s">
        <v>731</v>
      </c>
      <c r="B943" s="15" t="s">
        <v>116</v>
      </c>
      <c r="C943" s="15" t="s">
        <v>1605</v>
      </c>
      <c r="D943" s="15" t="str">
        <f aca="false">IF(ISNUMBER(MATCH(B943,Pages!$B$2:$B$98,0)),"Yes","Check")</f>
        <v>Yes</v>
      </c>
    </row>
    <row r="944" customFormat="false" ht="15" hidden="false" customHeight="false" outlineLevel="0" collapsed="false">
      <c r="A944" s="15" t="s">
        <v>731</v>
      </c>
      <c r="B944" s="15" t="s">
        <v>593</v>
      </c>
      <c r="C944" s="15" t="s">
        <v>1805</v>
      </c>
      <c r="D944" s="15" t="str">
        <f aca="false">IF(ISNUMBER(MATCH(B944,Pages!$B$2:$B$98,0)),"Yes","Check")</f>
        <v>Yes</v>
      </c>
    </row>
    <row r="945" customFormat="false" ht="15" hidden="false" customHeight="false" outlineLevel="0" collapsed="false">
      <c r="A945" s="15" t="s">
        <v>731</v>
      </c>
      <c r="B945" s="15" t="s">
        <v>757</v>
      </c>
      <c r="C945" s="15" t="s">
        <v>1608</v>
      </c>
      <c r="D945" s="15" t="str">
        <f aca="false">IF(ISNUMBER(MATCH(B945,Pages!$B$2:$B$98,0)),"Yes","Check")</f>
        <v>Yes</v>
      </c>
    </row>
    <row r="946" customFormat="false" ht="15" hidden="false" customHeight="false" outlineLevel="0" collapsed="false">
      <c r="A946" s="15" t="s">
        <v>731</v>
      </c>
      <c r="B946" s="15" t="s">
        <v>810</v>
      </c>
      <c r="C946" s="15" t="s">
        <v>1640</v>
      </c>
      <c r="D946" s="15" t="str">
        <f aca="false">IF(ISNUMBER(MATCH(B946,Pages!$B$2:$B$98,0)),"Yes","Check")</f>
        <v>Yes</v>
      </c>
    </row>
    <row r="947" customFormat="false" ht="15" hidden="false" customHeight="false" outlineLevel="0" collapsed="false">
      <c r="A947" s="15" t="s">
        <v>731</v>
      </c>
      <c r="B947" s="15" t="s">
        <v>722</v>
      </c>
      <c r="C947" s="15" t="s">
        <v>1609</v>
      </c>
      <c r="D947" s="15" t="str">
        <f aca="false">IF(ISNUMBER(MATCH(B947,Pages!$B$2:$B$98,0)),"Yes","Check")</f>
        <v>Yes</v>
      </c>
    </row>
    <row r="948" customFormat="false" ht="15" hidden="false" customHeight="false" outlineLevel="0" collapsed="false">
      <c r="A948" s="15" t="s">
        <v>731</v>
      </c>
      <c r="B948" s="15" t="s">
        <v>116</v>
      </c>
      <c r="C948" s="15" t="s">
        <v>1483</v>
      </c>
      <c r="D948" s="15" t="str">
        <f aca="false">IF(ISNUMBER(MATCH(B948,Pages!$B$2:$B$98,0)),"Yes","Check")</f>
        <v>Yes</v>
      </c>
    </row>
    <row r="949" customFormat="false" ht="15" hidden="false" customHeight="false" outlineLevel="0" collapsed="false">
      <c r="A949" s="15" t="s">
        <v>740</v>
      </c>
      <c r="B949" s="15" t="s">
        <v>183</v>
      </c>
      <c r="C949" s="15" t="s">
        <v>1487</v>
      </c>
      <c r="D949" s="15" t="str">
        <f aca="false">IF(ISNUMBER(MATCH(B949,Pages!$B$2:$B$98,0)),"Yes","Check")</f>
        <v>Yes</v>
      </c>
    </row>
    <row r="950" customFormat="false" ht="15" hidden="false" customHeight="false" outlineLevel="0" collapsed="false">
      <c r="A950" s="15" t="s">
        <v>740</v>
      </c>
      <c r="B950" s="15" t="s">
        <v>688</v>
      </c>
      <c r="C950" s="15" t="s">
        <v>1713</v>
      </c>
      <c r="D950" s="15" t="str">
        <f aca="false">IF(ISNUMBER(MATCH(B950,Pages!$B$2:$B$98,0)),"Yes","Check")</f>
        <v>Yes</v>
      </c>
    </row>
    <row r="951" customFormat="false" ht="15" hidden="false" customHeight="false" outlineLevel="0" collapsed="false">
      <c r="A951" s="15" t="s">
        <v>740</v>
      </c>
      <c r="B951" s="15" t="s">
        <v>377</v>
      </c>
      <c r="C951" s="15" t="s">
        <v>1830</v>
      </c>
      <c r="D951" s="15" t="str">
        <f aca="false">IF(ISNUMBER(MATCH(B951,Pages!$B$2:$B$98,0)),"Yes","Check")</f>
        <v>Yes</v>
      </c>
    </row>
    <row r="952" customFormat="false" ht="15" hidden="false" customHeight="false" outlineLevel="0" collapsed="false">
      <c r="A952" s="15" t="s">
        <v>740</v>
      </c>
      <c r="B952" s="15" t="s">
        <v>967</v>
      </c>
      <c r="C952" s="15" t="s">
        <v>1706</v>
      </c>
      <c r="D952" s="15" t="str">
        <f aca="false">IF(ISNUMBER(MATCH(B952,Pages!$B$2:$B$98,0)),"Yes","Check")</f>
        <v>Yes</v>
      </c>
    </row>
    <row r="953" customFormat="false" ht="15" hidden="false" customHeight="false" outlineLevel="0" collapsed="false">
      <c r="A953" s="15" t="s">
        <v>740</v>
      </c>
      <c r="B953" s="15" t="s">
        <v>977</v>
      </c>
      <c r="C953" s="15" t="s">
        <v>1719</v>
      </c>
      <c r="D953" s="15" t="str">
        <f aca="false">IF(ISNUMBER(MATCH(B953,Pages!$B$2:$B$98,0)),"Yes","Check")</f>
        <v>Yes</v>
      </c>
    </row>
    <row r="954" customFormat="false" ht="15" hidden="false" customHeight="false" outlineLevel="0" collapsed="false">
      <c r="A954" s="15" t="s">
        <v>740</v>
      </c>
      <c r="B954" s="15" t="s">
        <v>783</v>
      </c>
      <c r="C954" s="15" t="s">
        <v>1708</v>
      </c>
      <c r="D954" s="15" t="str">
        <f aca="false">IF(ISNUMBER(MATCH(B954,Pages!$B$2:$B$98,0)),"Yes","Check")</f>
        <v>Yes</v>
      </c>
    </row>
    <row r="955" customFormat="false" ht="15" hidden="false" customHeight="false" outlineLevel="0" collapsed="false">
      <c r="A955" s="15" t="s">
        <v>740</v>
      </c>
      <c r="B955" s="15" t="s">
        <v>748</v>
      </c>
      <c r="C955" s="15" t="s">
        <v>1654</v>
      </c>
      <c r="D955" s="15" t="str">
        <f aca="false">IF(ISNUMBER(MATCH(B955,Pages!$B$2:$B$98,0)),"Yes","Check")</f>
        <v>Yes</v>
      </c>
    </row>
    <row r="956" customFormat="false" ht="15" hidden="false" customHeight="false" outlineLevel="0" collapsed="false">
      <c r="A956" s="15" t="s">
        <v>740</v>
      </c>
      <c r="B956" s="15" t="s">
        <v>116</v>
      </c>
      <c r="C956" s="15" t="s">
        <v>1605</v>
      </c>
      <c r="D956" s="15" t="str">
        <f aca="false">IF(ISNUMBER(MATCH(B956,Pages!$B$2:$B$98,0)),"Yes","Check")</f>
        <v>Yes</v>
      </c>
    </row>
    <row r="957" customFormat="false" ht="23.85" hidden="false" customHeight="false" outlineLevel="0" collapsed="false">
      <c r="A957" s="15" t="s">
        <v>740</v>
      </c>
      <c r="B957" s="15" t="s">
        <v>377</v>
      </c>
      <c r="C957" s="15" t="s">
        <v>1729</v>
      </c>
      <c r="D957" s="15" t="str">
        <f aca="false">IF(ISNUMBER(MATCH(B957,Pages!$B$2:$B$98,0)),"Yes","Check")</f>
        <v>Yes</v>
      </c>
    </row>
    <row r="958" customFormat="false" ht="15" hidden="false" customHeight="false" outlineLevel="0" collapsed="false">
      <c r="A958" s="15" t="s">
        <v>740</v>
      </c>
      <c r="B958" s="15" t="s">
        <v>688</v>
      </c>
      <c r="C958" s="15" t="s">
        <v>1715</v>
      </c>
      <c r="D958" s="15" t="str">
        <f aca="false">IF(ISNUMBER(MATCH(B958,Pages!$B$2:$B$98,0)),"Yes","Check")</f>
        <v>Yes</v>
      </c>
    </row>
    <row r="959" customFormat="false" ht="15" hidden="false" customHeight="false" outlineLevel="0" collapsed="false">
      <c r="A959" s="15" t="s">
        <v>740</v>
      </c>
      <c r="B959" s="15" t="s">
        <v>748</v>
      </c>
      <c r="C959" s="15" t="s">
        <v>1616</v>
      </c>
      <c r="D959" s="15" t="str">
        <f aca="false">IF(ISNUMBER(MATCH(B959,Pages!$B$2:$B$98,0)),"Yes","Check")</f>
        <v>Yes</v>
      </c>
    </row>
    <row r="960" customFormat="false" ht="15" hidden="false" customHeight="false" outlineLevel="0" collapsed="false">
      <c r="A960" s="15" t="s">
        <v>740</v>
      </c>
      <c r="B960" s="15" t="s">
        <v>967</v>
      </c>
      <c r="C960" s="15" t="s">
        <v>1716</v>
      </c>
      <c r="D960" s="15" t="str">
        <f aca="false">IF(ISNUMBER(MATCH(B960,Pages!$B$2:$B$98,0)),"Yes","Check")</f>
        <v>Yes</v>
      </c>
    </row>
    <row r="961" customFormat="false" ht="15" hidden="false" customHeight="false" outlineLevel="0" collapsed="false">
      <c r="A961" s="15" t="s">
        <v>740</v>
      </c>
      <c r="B961" s="15" t="s">
        <v>116</v>
      </c>
      <c r="C961" s="15" t="s">
        <v>1483</v>
      </c>
      <c r="D961" s="15" t="str">
        <f aca="false">IF(ISNUMBER(MATCH(B961,Pages!$B$2:$B$98,0)),"Yes","Check")</f>
        <v>Yes</v>
      </c>
    </row>
    <row r="962" customFormat="false" ht="15" hidden="false" customHeight="false" outlineLevel="0" collapsed="false">
      <c r="A962" s="15" t="s">
        <v>748</v>
      </c>
      <c r="B962" s="15" t="s">
        <v>228</v>
      </c>
      <c r="C962" s="15" t="s">
        <v>1843</v>
      </c>
      <c r="D962" s="15" t="str">
        <f aca="false">IF(ISNUMBER(MATCH(B962,Pages!$B$2:$B$98,0)),"Yes","Check")</f>
        <v>Yes</v>
      </c>
    </row>
    <row r="963" customFormat="false" ht="15" hidden="false" customHeight="false" outlineLevel="0" collapsed="false">
      <c r="A963" s="15" t="s">
        <v>748</v>
      </c>
      <c r="B963" s="15" t="s">
        <v>237</v>
      </c>
      <c r="C963" s="15" t="s">
        <v>1746</v>
      </c>
      <c r="D963" s="15" t="str">
        <f aca="false">IF(ISNUMBER(MATCH(B963,Pages!$B$2:$B$98,0)),"Yes","Check")</f>
        <v>Yes</v>
      </c>
    </row>
    <row r="964" customFormat="false" ht="15" hidden="false" customHeight="false" outlineLevel="0" collapsed="false">
      <c r="A964" s="15" t="s">
        <v>748</v>
      </c>
      <c r="B964" s="15" t="s">
        <v>459</v>
      </c>
      <c r="C964" s="15" t="s">
        <v>1651</v>
      </c>
      <c r="D964" s="15" t="str">
        <f aca="false">IF(ISNUMBER(MATCH(B964,Pages!$B$2:$B$98,0)),"Yes","Check")</f>
        <v>Yes</v>
      </c>
    </row>
    <row r="965" customFormat="false" ht="15" hidden="false" customHeight="false" outlineLevel="0" collapsed="false">
      <c r="A965" s="15" t="s">
        <v>748</v>
      </c>
      <c r="B965" s="15" t="s">
        <v>810</v>
      </c>
      <c r="C965" s="15" t="s">
        <v>1678</v>
      </c>
      <c r="D965" s="15" t="str">
        <f aca="false">IF(ISNUMBER(MATCH(B965,Pages!$B$2:$B$98,0)),"Yes","Check")</f>
        <v>Yes</v>
      </c>
    </row>
    <row r="966" customFormat="false" ht="15" hidden="false" customHeight="false" outlineLevel="0" collapsed="false">
      <c r="A966" s="15" t="s">
        <v>748</v>
      </c>
      <c r="B966" s="15" t="s">
        <v>540</v>
      </c>
      <c r="C966" s="15" t="s">
        <v>1634</v>
      </c>
      <c r="D966" s="15" t="str">
        <f aca="false">IF(ISNUMBER(MATCH(B966,Pages!$B$2:$B$98,0)),"Yes","Check")</f>
        <v>Yes</v>
      </c>
    </row>
    <row r="967" customFormat="false" ht="15" hidden="false" customHeight="false" outlineLevel="0" collapsed="false">
      <c r="A967" s="15" t="s">
        <v>748</v>
      </c>
      <c r="B967" s="15" t="s">
        <v>450</v>
      </c>
      <c r="C967" s="15" t="s">
        <v>1492</v>
      </c>
      <c r="D967" s="15" t="str">
        <f aca="false">IF(ISNUMBER(MATCH(B967,Pages!$B$2:$B$98,0)),"Yes","Check")</f>
        <v>Yes</v>
      </c>
    </row>
    <row r="968" customFormat="false" ht="15" hidden="false" customHeight="false" outlineLevel="0" collapsed="false">
      <c r="A968" s="15" t="s">
        <v>748</v>
      </c>
      <c r="B968" s="15" t="s">
        <v>697</v>
      </c>
      <c r="C968" s="15" t="s">
        <v>700</v>
      </c>
      <c r="D968" s="15" t="str">
        <f aca="false">IF(ISNUMBER(MATCH(B968,Pages!$B$2:$B$98,0)),"Yes","Check")</f>
        <v>Yes</v>
      </c>
    </row>
    <row r="969" customFormat="false" ht="15" hidden="false" customHeight="false" outlineLevel="0" collapsed="false">
      <c r="A969" s="15" t="s">
        <v>748</v>
      </c>
      <c r="B969" s="15" t="s">
        <v>116</v>
      </c>
      <c r="C969" s="15" t="s">
        <v>1605</v>
      </c>
      <c r="D969" s="15" t="str">
        <f aca="false">IF(ISNUMBER(MATCH(B969,Pages!$B$2:$B$98,0)),"Yes","Check")</f>
        <v>Yes</v>
      </c>
    </row>
    <row r="970" customFormat="false" ht="23.85" hidden="false" customHeight="false" outlineLevel="0" collapsed="false">
      <c r="A970" s="15" t="s">
        <v>748</v>
      </c>
      <c r="B970" s="15" t="s">
        <v>237</v>
      </c>
      <c r="C970" s="15" t="s">
        <v>1661</v>
      </c>
      <c r="D970" s="15" t="str">
        <f aca="false">IF(ISNUMBER(MATCH(B970,Pages!$B$2:$B$98,0)),"Yes","Check")</f>
        <v>Yes</v>
      </c>
    </row>
    <row r="971" customFormat="false" ht="15" hidden="false" customHeight="false" outlineLevel="0" collapsed="false">
      <c r="A971" s="15" t="s">
        <v>748</v>
      </c>
      <c r="B971" s="15" t="s">
        <v>450</v>
      </c>
      <c r="C971" s="15" t="s">
        <v>1630</v>
      </c>
      <c r="D971" s="15" t="str">
        <f aca="false">IF(ISNUMBER(MATCH(B971,Pages!$B$2:$B$98,0)),"Yes","Check")</f>
        <v>Yes</v>
      </c>
    </row>
    <row r="972" customFormat="false" ht="23.85" hidden="false" customHeight="false" outlineLevel="0" collapsed="false">
      <c r="A972" s="15" t="s">
        <v>748</v>
      </c>
      <c r="B972" s="15" t="s">
        <v>459</v>
      </c>
      <c r="C972" s="15" t="s">
        <v>1625</v>
      </c>
      <c r="D972" s="15" t="str">
        <f aca="false">IF(ISNUMBER(MATCH(B972,Pages!$B$2:$B$98,0)),"Yes","Check")</f>
        <v>Yes</v>
      </c>
    </row>
    <row r="973" customFormat="false" ht="15" hidden="false" customHeight="false" outlineLevel="0" collapsed="false">
      <c r="A973" s="15" t="s">
        <v>748</v>
      </c>
      <c r="B973" s="15" t="s">
        <v>116</v>
      </c>
      <c r="C973" s="15" t="s">
        <v>1483</v>
      </c>
      <c r="D973" s="15" t="str">
        <f aca="false">IF(ISNUMBER(MATCH(B973,Pages!$B$2:$B$98,0)),"Yes","Check")</f>
        <v>Yes</v>
      </c>
    </row>
    <row r="974" customFormat="false" ht="15" hidden="false" customHeight="false" outlineLevel="0" collapsed="false">
      <c r="A974" s="15" t="s">
        <v>757</v>
      </c>
      <c r="B974" s="15" t="s">
        <v>722</v>
      </c>
      <c r="C974" s="15" t="s">
        <v>1493</v>
      </c>
      <c r="D974" s="15" t="str">
        <f aca="false">IF(ISNUMBER(MATCH(B974,Pages!$B$2:$B$98,0)),"Yes","Check")</f>
        <v>Yes</v>
      </c>
    </row>
    <row r="975" customFormat="false" ht="15" hidden="false" customHeight="false" outlineLevel="0" collapsed="false">
      <c r="A975" s="15" t="s">
        <v>757</v>
      </c>
      <c r="B975" s="15" t="s">
        <v>331</v>
      </c>
      <c r="C975" s="15" t="s">
        <v>1840</v>
      </c>
      <c r="D975" s="15" t="str">
        <f aca="false">IF(ISNUMBER(MATCH(B975,Pages!$B$2:$B$98,0)),"Yes","Check")</f>
        <v>Yes</v>
      </c>
    </row>
    <row r="976" customFormat="false" ht="15" hidden="false" customHeight="false" outlineLevel="0" collapsed="false">
      <c r="A976" s="15" t="s">
        <v>757</v>
      </c>
      <c r="B976" s="15" t="s">
        <v>540</v>
      </c>
      <c r="C976" s="15" t="s">
        <v>1703</v>
      </c>
      <c r="D976" s="15" t="str">
        <f aca="false">IF(ISNUMBER(MATCH(B976,Pages!$B$2:$B$98,0)),"Yes","Check")</f>
        <v>Yes</v>
      </c>
    </row>
    <row r="977" customFormat="false" ht="15" hidden="false" customHeight="false" outlineLevel="0" collapsed="false">
      <c r="A977" s="15" t="s">
        <v>757</v>
      </c>
      <c r="B977" s="15" t="s">
        <v>531</v>
      </c>
      <c r="C977" s="15" t="s">
        <v>1839</v>
      </c>
      <c r="D977" s="15" t="str">
        <f aca="false">IF(ISNUMBER(MATCH(B977,Pages!$B$2:$B$98,0)),"Yes","Check")</f>
        <v>Yes</v>
      </c>
    </row>
    <row r="978" customFormat="false" ht="15" hidden="false" customHeight="false" outlineLevel="0" collapsed="false">
      <c r="A978" s="15" t="s">
        <v>757</v>
      </c>
      <c r="B978" s="15" t="s">
        <v>731</v>
      </c>
      <c r="C978" s="15" t="s">
        <v>1806</v>
      </c>
      <c r="D978" s="15" t="str">
        <f aca="false">IF(ISNUMBER(MATCH(B978,Pages!$B$2:$B$98,0)),"Yes","Check")</f>
        <v>Yes</v>
      </c>
    </row>
    <row r="979" customFormat="false" ht="15" hidden="false" customHeight="false" outlineLevel="0" collapsed="false">
      <c r="A979" s="15" t="s">
        <v>757</v>
      </c>
      <c r="B979" s="15" t="s">
        <v>713</v>
      </c>
      <c r="C979" s="15" t="s">
        <v>1844</v>
      </c>
      <c r="D979" s="15" t="str">
        <f aca="false">IF(ISNUMBER(MATCH(B979,Pages!$B$2:$B$98,0)),"Yes","Check")</f>
        <v>Yes</v>
      </c>
    </row>
    <row r="980" customFormat="false" ht="15" hidden="false" customHeight="false" outlineLevel="0" collapsed="false">
      <c r="A980" s="15" t="s">
        <v>757</v>
      </c>
      <c r="B980" s="15" t="s">
        <v>705</v>
      </c>
      <c r="C980" s="15" t="s">
        <v>1783</v>
      </c>
      <c r="D980" s="15" t="str">
        <f aca="false">IF(ISNUMBER(MATCH(B980,Pages!$B$2:$B$98,0)),"Yes","Check")</f>
        <v>Yes</v>
      </c>
    </row>
    <row r="981" customFormat="false" ht="15" hidden="false" customHeight="false" outlineLevel="0" collapsed="false">
      <c r="A981" s="15" t="s">
        <v>757</v>
      </c>
      <c r="B981" s="15" t="s">
        <v>638</v>
      </c>
      <c r="C981" s="15" t="s">
        <v>1845</v>
      </c>
      <c r="D981" s="15" t="str">
        <f aca="false">IF(ISNUMBER(MATCH(B981,Pages!$B$2:$B$98,0)),"Yes","Check")</f>
        <v>Yes</v>
      </c>
    </row>
    <row r="982" customFormat="false" ht="15" hidden="false" customHeight="false" outlineLevel="0" collapsed="false">
      <c r="A982" s="15" t="s">
        <v>757</v>
      </c>
      <c r="B982" s="15" t="s">
        <v>116</v>
      </c>
      <c r="C982" s="15" t="s">
        <v>1605</v>
      </c>
      <c r="D982" s="15" t="str">
        <f aca="false">IF(ISNUMBER(MATCH(B982,Pages!$B$2:$B$98,0)),"Yes","Check")</f>
        <v>Yes</v>
      </c>
    </row>
    <row r="983" customFormat="false" ht="23.85" hidden="false" customHeight="false" outlineLevel="0" collapsed="false">
      <c r="A983" s="15" t="s">
        <v>757</v>
      </c>
      <c r="B983" s="15" t="s">
        <v>540</v>
      </c>
      <c r="C983" s="15" t="s">
        <v>1639</v>
      </c>
      <c r="D983" s="15" t="str">
        <f aca="false">IF(ISNUMBER(MATCH(B983,Pages!$B$2:$B$98,0)),"Yes","Check")</f>
        <v>Yes</v>
      </c>
    </row>
    <row r="984" customFormat="false" ht="15" hidden="false" customHeight="false" outlineLevel="0" collapsed="false">
      <c r="A984" s="15" t="s">
        <v>757</v>
      </c>
      <c r="B984" s="15" t="s">
        <v>722</v>
      </c>
      <c r="C984" s="15" t="s">
        <v>1609</v>
      </c>
      <c r="D984" s="15" t="str">
        <f aca="false">IF(ISNUMBER(MATCH(B984,Pages!$B$2:$B$98,0)),"Yes","Check")</f>
        <v>Yes</v>
      </c>
    </row>
    <row r="985" customFormat="false" ht="15" hidden="false" customHeight="false" outlineLevel="0" collapsed="false">
      <c r="A985" s="15" t="s">
        <v>757</v>
      </c>
      <c r="B985" s="15" t="s">
        <v>116</v>
      </c>
      <c r="C985" s="15" t="s">
        <v>1483</v>
      </c>
      <c r="D985" s="15" t="str">
        <f aca="false">IF(ISNUMBER(MATCH(B985,Pages!$B$2:$B$98,0)),"Yes","Check")</f>
        <v>Yes</v>
      </c>
    </row>
    <row r="986" customFormat="false" ht="15" hidden="false" customHeight="false" outlineLevel="0" collapsed="false">
      <c r="A986" s="15" t="s">
        <v>766</v>
      </c>
      <c r="B986" s="15" t="s">
        <v>183</v>
      </c>
      <c r="C986" s="15" t="s">
        <v>1487</v>
      </c>
      <c r="D986" s="15" t="str">
        <f aca="false">IF(ISNUMBER(MATCH(B986,Pages!$B$2:$B$98,0)),"Yes","Check")</f>
        <v>Yes</v>
      </c>
    </row>
    <row r="987" customFormat="false" ht="15" hidden="false" customHeight="false" outlineLevel="0" collapsed="false">
      <c r="A987" s="15" t="s">
        <v>766</v>
      </c>
      <c r="B987" s="15" t="s">
        <v>926</v>
      </c>
      <c r="C987" s="15" t="s">
        <v>1489</v>
      </c>
      <c r="D987" s="15" t="str">
        <f aca="false">IF(ISNUMBER(MATCH(B987,Pages!$B$2:$B$98,0)),"Yes","Check")</f>
        <v>Yes</v>
      </c>
    </row>
    <row r="988" customFormat="false" ht="15" hidden="false" customHeight="false" outlineLevel="0" collapsed="false">
      <c r="A988" s="15" t="s">
        <v>766</v>
      </c>
      <c r="B988" s="15" t="s">
        <v>368</v>
      </c>
      <c r="C988" s="15" t="s">
        <v>1756</v>
      </c>
      <c r="D988" s="15" t="str">
        <f aca="false">IF(ISNUMBER(MATCH(B988,Pages!$B$2:$B$98,0)),"Yes","Check")</f>
        <v>Yes</v>
      </c>
    </row>
    <row r="989" customFormat="false" ht="15" hidden="false" customHeight="false" outlineLevel="0" collapsed="false">
      <c r="A989" s="15" t="s">
        <v>766</v>
      </c>
      <c r="B989" s="15" t="s">
        <v>322</v>
      </c>
      <c r="C989" s="15" t="s">
        <v>326</v>
      </c>
      <c r="D989" s="15" t="str">
        <f aca="false">IF(ISNUMBER(MATCH(B989,Pages!$B$2:$B$98,0)),"Yes","Check")</f>
        <v>Yes</v>
      </c>
    </row>
    <row r="990" customFormat="false" ht="15" hidden="false" customHeight="false" outlineLevel="0" collapsed="false">
      <c r="A990" s="15" t="s">
        <v>766</v>
      </c>
      <c r="B990" s="15" t="s">
        <v>549</v>
      </c>
      <c r="C990" s="15" t="s">
        <v>1846</v>
      </c>
      <c r="D990" s="15" t="str">
        <f aca="false">IF(ISNUMBER(MATCH(B990,Pages!$B$2:$B$98,0)),"Yes","Check")</f>
        <v>Yes</v>
      </c>
    </row>
    <row r="991" customFormat="false" ht="15" hidden="false" customHeight="false" outlineLevel="0" collapsed="false">
      <c r="A991" s="15" t="s">
        <v>766</v>
      </c>
      <c r="B991" s="15" t="s">
        <v>450</v>
      </c>
      <c r="C991" s="15" t="s">
        <v>1492</v>
      </c>
      <c r="D991" s="15" t="str">
        <f aca="false">IF(ISNUMBER(MATCH(B991,Pages!$B$2:$B$98,0)),"Yes","Check")</f>
        <v>Yes</v>
      </c>
    </row>
    <row r="992" customFormat="false" ht="15" hidden="false" customHeight="false" outlineLevel="0" collapsed="false">
      <c r="A992" s="15" t="s">
        <v>766</v>
      </c>
      <c r="B992" s="15" t="s">
        <v>775</v>
      </c>
      <c r="C992" s="15" t="s">
        <v>1673</v>
      </c>
      <c r="D992" s="15" t="str">
        <f aca="false">IF(ISNUMBER(MATCH(B992,Pages!$B$2:$B$98,0)),"Yes","Check")</f>
        <v>Yes</v>
      </c>
    </row>
    <row r="993" customFormat="false" ht="15" hidden="false" customHeight="false" outlineLevel="0" collapsed="false">
      <c r="A993" s="15" t="s">
        <v>766</v>
      </c>
      <c r="B993" s="15" t="s">
        <v>116</v>
      </c>
      <c r="C993" s="15" t="s">
        <v>1605</v>
      </c>
      <c r="D993" s="15" t="str">
        <f aca="false">IF(ISNUMBER(MATCH(B993,Pages!$B$2:$B$98,0)),"Yes","Check")</f>
        <v>Yes</v>
      </c>
    </row>
    <row r="994" customFormat="false" ht="15" hidden="false" customHeight="false" outlineLevel="0" collapsed="false">
      <c r="A994" s="15" t="s">
        <v>766</v>
      </c>
      <c r="B994" s="15" t="s">
        <v>368</v>
      </c>
      <c r="C994" s="15" t="s">
        <v>1847</v>
      </c>
      <c r="D994" s="15" t="str">
        <f aca="false">IF(ISNUMBER(MATCH(B994,Pages!$B$2:$B$98,0)),"Yes","Check")</f>
        <v>Yes</v>
      </c>
    </row>
    <row r="995" customFormat="false" ht="15" hidden="false" customHeight="false" outlineLevel="0" collapsed="false">
      <c r="A995" s="15" t="s">
        <v>766</v>
      </c>
      <c r="B995" s="15" t="s">
        <v>450</v>
      </c>
      <c r="C995" s="15" t="s">
        <v>1630</v>
      </c>
      <c r="D995" s="15" t="str">
        <f aca="false">IF(ISNUMBER(MATCH(B995,Pages!$B$2:$B$98,0)),"Yes","Check")</f>
        <v>Yes</v>
      </c>
    </row>
    <row r="996" customFormat="false" ht="15" hidden="false" customHeight="false" outlineLevel="0" collapsed="false">
      <c r="A996" s="15" t="s">
        <v>766</v>
      </c>
      <c r="B996" s="15" t="s">
        <v>549</v>
      </c>
      <c r="C996" s="15" t="s">
        <v>1848</v>
      </c>
      <c r="D996" s="15" t="str">
        <f aca="false">IF(ISNUMBER(MATCH(B996,Pages!$B$2:$B$98,0)),"Yes","Check")</f>
        <v>Yes</v>
      </c>
    </row>
    <row r="997" customFormat="false" ht="15" hidden="false" customHeight="false" outlineLevel="0" collapsed="false">
      <c r="A997" s="15" t="s">
        <v>766</v>
      </c>
      <c r="B997" s="15" t="s">
        <v>775</v>
      </c>
      <c r="C997" s="15" t="s">
        <v>1677</v>
      </c>
      <c r="D997" s="15" t="str">
        <f aca="false">IF(ISNUMBER(MATCH(B997,Pages!$B$2:$B$98,0)),"Yes","Check")</f>
        <v>Yes</v>
      </c>
    </row>
    <row r="998" customFormat="false" ht="15" hidden="false" customHeight="false" outlineLevel="0" collapsed="false">
      <c r="A998" s="15" t="s">
        <v>766</v>
      </c>
      <c r="B998" s="15" t="s">
        <v>926</v>
      </c>
      <c r="C998" s="15" t="s">
        <v>1657</v>
      </c>
      <c r="D998" s="15" t="str">
        <f aca="false">IF(ISNUMBER(MATCH(B998,Pages!$B$2:$B$98,0)),"Yes","Check")</f>
        <v>Yes</v>
      </c>
    </row>
    <row r="999" customFormat="false" ht="15" hidden="false" customHeight="false" outlineLevel="0" collapsed="false">
      <c r="A999" s="15" t="s">
        <v>766</v>
      </c>
      <c r="B999" s="15" t="s">
        <v>116</v>
      </c>
      <c r="C999" s="15" t="s">
        <v>1483</v>
      </c>
      <c r="D999" s="15" t="str">
        <f aca="false">IF(ISNUMBER(MATCH(B999,Pages!$B$2:$B$98,0)),"Yes","Check")</f>
        <v>Yes</v>
      </c>
    </row>
    <row r="1000" customFormat="false" ht="15" hidden="false" customHeight="false" outlineLevel="0" collapsed="false">
      <c r="A1000" s="15" t="s">
        <v>775</v>
      </c>
      <c r="B1000" s="15" t="s">
        <v>477</v>
      </c>
      <c r="C1000" s="15" t="s">
        <v>1849</v>
      </c>
      <c r="D1000" s="15" t="str">
        <f aca="false">IF(ISNUMBER(MATCH(B1000,Pages!$B$2:$B$98,0)),"Yes","Check")</f>
        <v>Yes</v>
      </c>
    </row>
    <row r="1001" customFormat="false" ht="15" hidden="false" customHeight="false" outlineLevel="0" collapsed="false">
      <c r="A1001" s="15" t="s">
        <v>775</v>
      </c>
      <c r="B1001" s="15" t="s">
        <v>377</v>
      </c>
      <c r="C1001" s="15" t="s">
        <v>1850</v>
      </c>
      <c r="D1001" s="15" t="str">
        <f aca="false">IF(ISNUMBER(MATCH(B1001,Pages!$B$2:$B$98,0)),"Yes","Check")</f>
        <v>Yes</v>
      </c>
    </row>
    <row r="1002" customFormat="false" ht="15" hidden="false" customHeight="false" outlineLevel="0" collapsed="false">
      <c r="A1002" s="15" t="s">
        <v>775</v>
      </c>
      <c r="B1002" s="15" t="s">
        <v>967</v>
      </c>
      <c r="C1002" s="15" t="s">
        <v>1706</v>
      </c>
      <c r="D1002" s="15" t="str">
        <f aca="false">IF(ISNUMBER(MATCH(B1002,Pages!$B$2:$B$98,0)),"Yes","Check")</f>
        <v>Yes</v>
      </c>
    </row>
    <row r="1003" customFormat="false" ht="15" hidden="false" customHeight="false" outlineLevel="0" collapsed="false">
      <c r="A1003" s="15" t="s">
        <v>775</v>
      </c>
      <c r="B1003" s="15" t="s">
        <v>183</v>
      </c>
      <c r="C1003" s="15" t="s">
        <v>1851</v>
      </c>
      <c r="D1003" s="15" t="str">
        <f aca="false">IF(ISNUMBER(MATCH(B1003,Pages!$B$2:$B$98,0)),"Yes","Check")</f>
        <v>Yes</v>
      </c>
    </row>
    <row r="1004" customFormat="false" ht="15" hidden="false" customHeight="false" outlineLevel="0" collapsed="false">
      <c r="A1004" s="15" t="s">
        <v>775</v>
      </c>
      <c r="B1004" s="15" t="s">
        <v>819</v>
      </c>
      <c r="C1004" s="15" t="s">
        <v>1675</v>
      </c>
      <c r="D1004" s="15" t="str">
        <f aca="false">IF(ISNUMBER(MATCH(B1004,Pages!$B$2:$B$98,0)),"Yes","Check")</f>
        <v>Yes</v>
      </c>
    </row>
    <row r="1005" customFormat="false" ht="15" hidden="false" customHeight="false" outlineLevel="0" collapsed="false">
      <c r="A1005" s="15" t="s">
        <v>775</v>
      </c>
      <c r="B1005" s="15" t="s">
        <v>881</v>
      </c>
      <c r="C1005" s="15" t="s">
        <v>1503</v>
      </c>
      <c r="D1005" s="15" t="str">
        <f aca="false">IF(ISNUMBER(MATCH(B1005,Pages!$B$2:$B$98,0)),"Yes","Check")</f>
        <v>Yes</v>
      </c>
    </row>
    <row r="1006" customFormat="false" ht="15" hidden="false" customHeight="false" outlineLevel="0" collapsed="false">
      <c r="A1006" s="15" t="s">
        <v>775</v>
      </c>
      <c r="B1006" s="15" t="s">
        <v>295</v>
      </c>
      <c r="C1006" s="15" t="s">
        <v>1808</v>
      </c>
      <c r="D1006" s="15" t="str">
        <f aca="false">IF(ISNUMBER(MATCH(B1006,Pages!$B$2:$B$98,0)),"Yes","Check")</f>
        <v>Yes</v>
      </c>
    </row>
    <row r="1007" customFormat="false" ht="15" hidden="false" customHeight="false" outlineLevel="0" collapsed="false">
      <c r="A1007" s="15" t="s">
        <v>775</v>
      </c>
      <c r="B1007" s="15" t="s">
        <v>801</v>
      </c>
      <c r="C1007" s="15" t="s">
        <v>1852</v>
      </c>
      <c r="D1007" s="15" t="str">
        <f aca="false">IF(ISNUMBER(MATCH(B1007,Pages!$B$2:$B$98,0)),"Yes","Check")</f>
        <v>Yes</v>
      </c>
    </row>
    <row r="1008" customFormat="false" ht="15" hidden="false" customHeight="false" outlineLevel="0" collapsed="false">
      <c r="A1008" s="15" t="s">
        <v>775</v>
      </c>
      <c r="B1008" s="15" t="s">
        <v>116</v>
      </c>
      <c r="C1008" s="15" t="s">
        <v>1605</v>
      </c>
      <c r="D1008" s="15" t="str">
        <f aca="false">IF(ISNUMBER(MATCH(B1008,Pages!$B$2:$B$98,0)),"Yes","Check")</f>
        <v>Yes</v>
      </c>
    </row>
    <row r="1009" customFormat="false" ht="23.85" hidden="false" customHeight="false" outlineLevel="0" collapsed="false">
      <c r="A1009" s="15" t="s">
        <v>775</v>
      </c>
      <c r="B1009" s="15" t="s">
        <v>295</v>
      </c>
      <c r="C1009" s="15" t="s">
        <v>1853</v>
      </c>
      <c r="D1009" s="15" t="str">
        <f aca="false">IF(ISNUMBER(MATCH(B1009,Pages!$B$2:$B$98,0)),"Yes","Check")</f>
        <v>Yes</v>
      </c>
    </row>
    <row r="1010" customFormat="false" ht="23.85" hidden="false" customHeight="false" outlineLevel="0" collapsed="false">
      <c r="A1010" s="15" t="s">
        <v>775</v>
      </c>
      <c r="B1010" s="15" t="s">
        <v>377</v>
      </c>
      <c r="C1010" s="15" t="s">
        <v>1729</v>
      </c>
      <c r="D1010" s="15" t="str">
        <f aca="false">IF(ISNUMBER(MATCH(B1010,Pages!$B$2:$B$98,0)),"Yes","Check")</f>
        <v>Yes</v>
      </c>
    </row>
    <row r="1011" customFormat="false" ht="15" hidden="false" customHeight="false" outlineLevel="0" collapsed="false">
      <c r="A1011" s="15" t="s">
        <v>775</v>
      </c>
      <c r="B1011" s="15" t="s">
        <v>881</v>
      </c>
      <c r="C1011" s="15" t="s">
        <v>1690</v>
      </c>
      <c r="D1011" s="15" t="str">
        <f aca="false">IF(ISNUMBER(MATCH(B1011,Pages!$B$2:$B$98,0)),"Yes","Check")</f>
        <v>Yes</v>
      </c>
    </row>
    <row r="1012" customFormat="false" ht="15" hidden="false" customHeight="false" outlineLevel="0" collapsed="false">
      <c r="A1012" s="15" t="s">
        <v>775</v>
      </c>
      <c r="B1012" s="15" t="s">
        <v>967</v>
      </c>
      <c r="C1012" s="15" t="s">
        <v>1716</v>
      </c>
      <c r="D1012" s="15" t="str">
        <f aca="false">IF(ISNUMBER(MATCH(B1012,Pages!$B$2:$B$98,0)),"Yes","Check")</f>
        <v>Yes</v>
      </c>
    </row>
    <row r="1013" customFormat="false" ht="15" hidden="false" customHeight="false" outlineLevel="0" collapsed="false">
      <c r="A1013" s="15" t="s">
        <v>775</v>
      </c>
      <c r="B1013" s="15" t="s">
        <v>740</v>
      </c>
      <c r="C1013" s="15" t="s">
        <v>1662</v>
      </c>
      <c r="D1013" s="15" t="str">
        <f aca="false">IF(ISNUMBER(MATCH(B1013,Pages!$B$2:$B$98,0)),"Yes","Check")</f>
        <v>Yes</v>
      </c>
    </row>
    <row r="1014" customFormat="false" ht="15" hidden="false" customHeight="false" outlineLevel="0" collapsed="false">
      <c r="A1014" s="15" t="s">
        <v>775</v>
      </c>
      <c r="B1014" s="15" t="s">
        <v>116</v>
      </c>
      <c r="C1014" s="15" t="s">
        <v>1483</v>
      </c>
      <c r="D1014" s="15" t="str">
        <f aca="false">IF(ISNUMBER(MATCH(B1014,Pages!$B$2:$B$98,0)),"Yes","Check")</f>
        <v>Yes</v>
      </c>
    </row>
    <row r="1015" customFormat="false" ht="15" hidden="false" customHeight="false" outlineLevel="0" collapsed="false">
      <c r="A1015" s="15" t="s">
        <v>783</v>
      </c>
      <c r="B1015" s="15" t="s">
        <v>183</v>
      </c>
      <c r="C1015" s="15" t="s">
        <v>1487</v>
      </c>
      <c r="D1015" s="15" t="str">
        <f aca="false">IF(ISNUMBER(MATCH(B1015,Pages!$B$2:$B$98,0)),"Yes","Check")</f>
        <v>Yes</v>
      </c>
    </row>
    <row r="1016" customFormat="false" ht="15" hidden="false" customHeight="false" outlineLevel="0" collapsed="false">
      <c r="A1016" s="15" t="s">
        <v>783</v>
      </c>
      <c r="B1016" s="15" t="s">
        <v>246</v>
      </c>
      <c r="C1016" s="15" t="s">
        <v>1854</v>
      </c>
      <c r="D1016" s="15" t="str">
        <f aca="false">IF(ISNUMBER(MATCH(B1016,Pages!$B$2:$B$98,0)),"Yes","Check")</f>
        <v>Yes</v>
      </c>
    </row>
    <row r="1017" customFormat="false" ht="15" hidden="false" customHeight="false" outlineLevel="0" collapsed="false">
      <c r="A1017" s="15" t="s">
        <v>783</v>
      </c>
      <c r="B1017" s="15" t="s">
        <v>540</v>
      </c>
      <c r="C1017" s="15" t="s">
        <v>1634</v>
      </c>
      <c r="D1017" s="15" t="str">
        <f aca="false">IF(ISNUMBER(MATCH(B1017,Pages!$B$2:$B$98,0)),"Yes","Check")</f>
        <v>Yes</v>
      </c>
    </row>
    <row r="1018" customFormat="false" ht="15" hidden="false" customHeight="false" outlineLevel="0" collapsed="false">
      <c r="A1018" s="15" t="s">
        <v>783</v>
      </c>
      <c r="B1018" s="15" t="s">
        <v>237</v>
      </c>
      <c r="C1018" s="15" t="s">
        <v>1746</v>
      </c>
      <c r="D1018" s="15" t="str">
        <f aca="false">IF(ISNUMBER(MATCH(B1018,Pages!$B$2:$B$98,0)),"Yes","Check")</f>
        <v>Yes</v>
      </c>
    </row>
    <row r="1019" customFormat="false" ht="15" hidden="false" customHeight="false" outlineLevel="0" collapsed="false">
      <c r="A1019" s="15" t="s">
        <v>783</v>
      </c>
      <c r="B1019" s="15" t="s">
        <v>855</v>
      </c>
      <c r="C1019" s="15" t="s">
        <v>1740</v>
      </c>
      <c r="D1019" s="15" t="str">
        <f aca="false">IF(ISNUMBER(MATCH(B1019,Pages!$B$2:$B$98,0)),"Yes","Check")</f>
        <v>Yes</v>
      </c>
    </row>
    <row r="1020" customFormat="false" ht="15" hidden="false" customHeight="false" outlineLevel="0" collapsed="false">
      <c r="A1020" s="15" t="s">
        <v>783</v>
      </c>
      <c r="B1020" s="15" t="s">
        <v>450</v>
      </c>
      <c r="C1020" s="15" t="s">
        <v>1492</v>
      </c>
      <c r="D1020" s="15" t="str">
        <f aca="false">IF(ISNUMBER(MATCH(B1020,Pages!$B$2:$B$98,0)),"Yes","Check")</f>
        <v>Yes</v>
      </c>
    </row>
    <row r="1021" customFormat="false" ht="15" hidden="false" customHeight="false" outlineLevel="0" collapsed="false">
      <c r="A1021" s="15" t="s">
        <v>783</v>
      </c>
      <c r="B1021" s="15" t="s">
        <v>116</v>
      </c>
      <c r="C1021" s="15" t="s">
        <v>1605</v>
      </c>
      <c r="D1021" s="15" t="str">
        <f aca="false">IF(ISNUMBER(MATCH(B1021,Pages!$B$2:$B$98,0)),"Yes","Check")</f>
        <v>Yes</v>
      </c>
    </row>
    <row r="1022" customFormat="false" ht="23.85" hidden="false" customHeight="false" outlineLevel="0" collapsed="false">
      <c r="A1022" s="15" t="s">
        <v>783</v>
      </c>
      <c r="B1022" s="15" t="s">
        <v>237</v>
      </c>
      <c r="C1022" s="15" t="s">
        <v>1661</v>
      </c>
      <c r="D1022" s="15" t="str">
        <f aca="false">IF(ISNUMBER(MATCH(B1022,Pages!$B$2:$B$98,0)),"Yes","Check")</f>
        <v>Yes</v>
      </c>
    </row>
    <row r="1023" customFormat="false" ht="15" hidden="false" customHeight="false" outlineLevel="0" collapsed="false">
      <c r="A1023" s="15" t="s">
        <v>783</v>
      </c>
      <c r="B1023" s="15" t="s">
        <v>246</v>
      </c>
      <c r="C1023" s="15" t="s">
        <v>1855</v>
      </c>
      <c r="D1023" s="15" t="str">
        <f aca="false">IF(ISNUMBER(MATCH(B1023,Pages!$B$2:$B$98,0)),"Yes","Check")</f>
        <v>Yes</v>
      </c>
    </row>
    <row r="1024" customFormat="false" ht="15" hidden="false" customHeight="false" outlineLevel="0" collapsed="false">
      <c r="A1024" s="15" t="s">
        <v>783</v>
      </c>
      <c r="B1024" s="15" t="s">
        <v>450</v>
      </c>
      <c r="C1024" s="15" t="s">
        <v>1630</v>
      </c>
      <c r="D1024" s="15" t="str">
        <f aca="false">IF(ISNUMBER(MATCH(B1024,Pages!$B$2:$B$98,0)),"Yes","Check")</f>
        <v>Yes</v>
      </c>
    </row>
    <row r="1025" customFormat="false" ht="23.85" hidden="false" customHeight="false" outlineLevel="0" collapsed="false">
      <c r="A1025" s="15" t="s">
        <v>783</v>
      </c>
      <c r="B1025" s="15" t="s">
        <v>855</v>
      </c>
      <c r="C1025" s="15" t="s">
        <v>1647</v>
      </c>
      <c r="D1025" s="15" t="str">
        <f aca="false">IF(ISNUMBER(MATCH(B1025,Pages!$B$2:$B$98,0)),"Yes","Check")</f>
        <v>Yes</v>
      </c>
    </row>
    <row r="1026" customFormat="false" ht="15" hidden="false" customHeight="false" outlineLevel="0" collapsed="false">
      <c r="A1026" s="15" t="s">
        <v>783</v>
      </c>
      <c r="B1026" s="15" t="s">
        <v>740</v>
      </c>
      <c r="C1026" s="15" t="s">
        <v>1662</v>
      </c>
      <c r="D1026" s="15" t="str">
        <f aca="false">IF(ISNUMBER(MATCH(B1026,Pages!$B$2:$B$98,0)),"Yes","Check")</f>
        <v>Yes</v>
      </c>
    </row>
    <row r="1027" customFormat="false" ht="15" hidden="false" customHeight="false" outlineLevel="0" collapsed="false">
      <c r="A1027" s="15" t="s">
        <v>783</v>
      </c>
      <c r="B1027" s="15" t="s">
        <v>116</v>
      </c>
      <c r="C1027" s="15" t="s">
        <v>1483</v>
      </c>
      <c r="D1027" s="15" t="str">
        <f aca="false">IF(ISNUMBER(MATCH(B1027,Pages!$B$2:$B$98,0)),"Yes","Check")</f>
        <v>Yes</v>
      </c>
    </row>
    <row r="1028" customFormat="false" ht="15" hidden="false" customHeight="false" outlineLevel="0" collapsed="false">
      <c r="A1028" s="15" t="s">
        <v>792</v>
      </c>
      <c r="B1028" s="15" t="s">
        <v>431</v>
      </c>
      <c r="C1028" s="15" t="s">
        <v>1731</v>
      </c>
      <c r="D1028" s="15" t="str">
        <f aca="false">IF(ISNUMBER(MATCH(B1028,Pages!$B$2:$B$98,0)),"Yes","Check")</f>
        <v>Yes</v>
      </c>
    </row>
    <row r="1029" customFormat="false" ht="15" hidden="false" customHeight="false" outlineLevel="0" collapsed="false">
      <c r="A1029" s="15" t="s">
        <v>792</v>
      </c>
      <c r="B1029" s="15" t="s">
        <v>217</v>
      </c>
      <c r="C1029" s="15" t="s">
        <v>1669</v>
      </c>
      <c r="D1029" s="15" t="str">
        <f aca="false">IF(ISNUMBER(MATCH(B1029,Pages!$B$2:$B$98,0)),"Yes","Check")</f>
        <v>Yes</v>
      </c>
    </row>
    <row r="1030" customFormat="false" ht="15" hidden="false" customHeight="false" outlineLevel="0" collapsed="false">
      <c r="A1030" s="15" t="s">
        <v>792</v>
      </c>
      <c r="B1030" s="15" t="s">
        <v>917</v>
      </c>
      <c r="C1030" s="15" t="s">
        <v>1856</v>
      </c>
      <c r="D1030" s="15" t="str">
        <f aca="false">IF(ISNUMBER(MATCH(B1030,Pages!$B$2:$B$98,0)),"Yes","Check")</f>
        <v>Yes</v>
      </c>
    </row>
    <row r="1031" customFormat="false" ht="15" hidden="false" customHeight="false" outlineLevel="0" collapsed="false">
      <c r="A1031" s="15" t="s">
        <v>792</v>
      </c>
      <c r="B1031" s="15" t="s">
        <v>459</v>
      </c>
      <c r="C1031" s="15" t="s">
        <v>1857</v>
      </c>
      <c r="D1031" s="15" t="str">
        <f aca="false">IF(ISNUMBER(MATCH(B1031,Pages!$B$2:$B$98,0)),"Yes","Check")</f>
        <v>Yes</v>
      </c>
    </row>
    <row r="1032" customFormat="false" ht="15" hidden="false" customHeight="false" outlineLevel="0" collapsed="false">
      <c r="A1032" s="15" t="s">
        <v>792</v>
      </c>
      <c r="B1032" s="15" t="s">
        <v>688</v>
      </c>
      <c r="C1032" s="15" t="s">
        <v>1858</v>
      </c>
      <c r="D1032" s="15" t="str">
        <f aca="false">IF(ISNUMBER(MATCH(B1032,Pages!$B$2:$B$98,0)),"Yes","Check")</f>
        <v>Yes</v>
      </c>
    </row>
    <row r="1033" customFormat="false" ht="15" hidden="false" customHeight="false" outlineLevel="0" collapsed="false">
      <c r="A1033" s="15" t="s">
        <v>792</v>
      </c>
      <c r="B1033" s="15" t="s">
        <v>450</v>
      </c>
      <c r="C1033" s="15" t="s">
        <v>1492</v>
      </c>
      <c r="D1033" s="15" t="str">
        <f aca="false">IF(ISNUMBER(MATCH(B1033,Pages!$B$2:$B$98,0)),"Yes","Check")</f>
        <v>Yes</v>
      </c>
    </row>
    <row r="1034" customFormat="false" ht="15" hidden="false" customHeight="false" outlineLevel="0" collapsed="false">
      <c r="A1034" s="15" t="s">
        <v>792</v>
      </c>
      <c r="B1034" s="15" t="s">
        <v>697</v>
      </c>
      <c r="C1034" s="15" t="s">
        <v>1859</v>
      </c>
      <c r="D1034" s="15" t="str">
        <f aca="false">IF(ISNUMBER(MATCH(B1034,Pages!$B$2:$B$98,0)),"Yes","Check")</f>
        <v>Yes</v>
      </c>
    </row>
    <row r="1035" customFormat="false" ht="15" hidden="false" customHeight="false" outlineLevel="0" collapsed="false">
      <c r="A1035" s="15" t="s">
        <v>792</v>
      </c>
      <c r="B1035" s="15" t="s">
        <v>116</v>
      </c>
      <c r="C1035" s="15" t="s">
        <v>1605</v>
      </c>
      <c r="D1035" s="15" t="str">
        <f aca="false">IF(ISNUMBER(MATCH(B1035,Pages!$B$2:$B$98,0)),"Yes","Check")</f>
        <v>Yes</v>
      </c>
    </row>
    <row r="1036" customFormat="false" ht="15" hidden="false" customHeight="false" outlineLevel="0" collapsed="false">
      <c r="A1036" s="15" t="s">
        <v>792</v>
      </c>
      <c r="B1036" s="15" t="s">
        <v>217</v>
      </c>
      <c r="C1036" s="15" t="s">
        <v>1724</v>
      </c>
      <c r="D1036" s="15" t="str">
        <f aca="false">IF(ISNUMBER(MATCH(B1036,Pages!$B$2:$B$98,0)),"Yes","Check")</f>
        <v>Yes</v>
      </c>
    </row>
    <row r="1037" customFormat="false" ht="15" hidden="false" customHeight="false" outlineLevel="0" collapsed="false">
      <c r="A1037" s="15" t="s">
        <v>792</v>
      </c>
      <c r="B1037" s="15" t="s">
        <v>431</v>
      </c>
      <c r="C1037" s="15" t="s">
        <v>1732</v>
      </c>
      <c r="D1037" s="15" t="str">
        <f aca="false">IF(ISNUMBER(MATCH(B1037,Pages!$B$2:$B$98,0)),"Yes","Check")</f>
        <v>Yes</v>
      </c>
    </row>
    <row r="1038" customFormat="false" ht="23.85" hidden="false" customHeight="false" outlineLevel="0" collapsed="false">
      <c r="A1038" s="15" t="s">
        <v>792</v>
      </c>
      <c r="B1038" s="15" t="s">
        <v>459</v>
      </c>
      <c r="C1038" s="15" t="s">
        <v>1625</v>
      </c>
      <c r="D1038" s="15" t="str">
        <f aca="false">IF(ISNUMBER(MATCH(B1038,Pages!$B$2:$B$98,0)),"Yes","Check")</f>
        <v>Yes</v>
      </c>
    </row>
    <row r="1039" customFormat="false" ht="15" hidden="false" customHeight="false" outlineLevel="0" collapsed="false">
      <c r="A1039" s="15" t="s">
        <v>792</v>
      </c>
      <c r="B1039" s="15" t="s">
        <v>697</v>
      </c>
      <c r="C1039" s="15" t="s">
        <v>1860</v>
      </c>
      <c r="D1039" s="15" t="str">
        <f aca="false">IF(ISNUMBER(MATCH(B1039,Pages!$B$2:$B$98,0)),"Yes","Check")</f>
        <v>Yes</v>
      </c>
    </row>
    <row r="1040" customFormat="false" ht="23.85" hidden="false" customHeight="false" outlineLevel="0" collapsed="false">
      <c r="A1040" s="15" t="s">
        <v>792</v>
      </c>
      <c r="B1040" s="15" t="s">
        <v>917</v>
      </c>
      <c r="C1040" s="15" t="s">
        <v>1725</v>
      </c>
      <c r="D1040" s="15" t="str">
        <f aca="false">IF(ISNUMBER(MATCH(B1040,Pages!$B$2:$B$98,0)),"Yes","Check")</f>
        <v>Yes</v>
      </c>
    </row>
    <row r="1041" customFormat="false" ht="15" hidden="false" customHeight="false" outlineLevel="0" collapsed="false">
      <c r="A1041" s="15" t="s">
        <v>792</v>
      </c>
      <c r="B1041" s="15" t="s">
        <v>748</v>
      </c>
      <c r="C1041" s="15" t="s">
        <v>1616</v>
      </c>
      <c r="D1041" s="15" t="str">
        <f aca="false">IF(ISNUMBER(MATCH(B1041,Pages!$B$2:$B$98,0)),"Yes","Check")</f>
        <v>Yes</v>
      </c>
    </row>
    <row r="1042" customFormat="false" ht="15" hidden="false" customHeight="false" outlineLevel="0" collapsed="false">
      <c r="A1042" s="15" t="s">
        <v>792</v>
      </c>
      <c r="B1042" s="15" t="s">
        <v>116</v>
      </c>
      <c r="C1042" s="15" t="s">
        <v>1483</v>
      </c>
      <c r="D1042" s="15" t="str">
        <f aca="false">IF(ISNUMBER(MATCH(B1042,Pages!$B$2:$B$98,0)),"Yes","Check")</f>
        <v>Yes</v>
      </c>
    </row>
    <row r="1043" customFormat="false" ht="15" hidden="false" customHeight="false" outlineLevel="0" collapsed="false">
      <c r="A1043" s="15" t="s">
        <v>801</v>
      </c>
      <c r="B1043" s="15" t="s">
        <v>125</v>
      </c>
      <c r="C1043" s="15" t="s">
        <v>1672</v>
      </c>
      <c r="D1043" s="15" t="str">
        <f aca="false">IF(ISNUMBER(MATCH(B1043,Pages!$B$2:$B$98,0)),"Yes","Check")</f>
        <v>Yes</v>
      </c>
    </row>
    <row r="1044" customFormat="false" ht="15" hidden="false" customHeight="false" outlineLevel="0" collapsed="false">
      <c r="A1044" s="15" t="s">
        <v>801</v>
      </c>
      <c r="B1044" s="15" t="s">
        <v>195</v>
      </c>
      <c r="C1044" s="15" t="s">
        <v>1502</v>
      </c>
      <c r="D1044" s="15" t="str">
        <f aca="false">IF(ISNUMBER(MATCH(B1044,Pages!$B$2:$B$98,0)),"Yes","Check")</f>
        <v>Yes</v>
      </c>
    </row>
    <row r="1045" customFormat="false" ht="15" hidden="false" customHeight="false" outlineLevel="0" collapsed="false">
      <c r="A1045" s="15" t="s">
        <v>801</v>
      </c>
      <c r="B1045" s="15" t="s">
        <v>775</v>
      </c>
      <c r="C1045" s="15" t="s">
        <v>1673</v>
      </c>
      <c r="D1045" s="15" t="str">
        <f aca="false">IF(ISNUMBER(MATCH(B1045,Pages!$B$2:$B$98,0)),"Yes","Check")</f>
        <v>Yes</v>
      </c>
    </row>
    <row r="1046" customFormat="false" ht="15" hidden="false" customHeight="false" outlineLevel="0" collapsed="false">
      <c r="A1046" s="15" t="s">
        <v>801</v>
      </c>
      <c r="B1046" s="15" t="s">
        <v>477</v>
      </c>
      <c r="C1046" s="15" t="s">
        <v>1674</v>
      </c>
      <c r="D1046" s="15" t="str">
        <f aca="false">IF(ISNUMBER(MATCH(B1046,Pages!$B$2:$B$98,0)),"Yes","Check")</f>
        <v>Yes</v>
      </c>
    </row>
    <row r="1047" customFormat="false" ht="15" hidden="false" customHeight="false" outlineLevel="0" collapsed="false">
      <c r="A1047" s="15" t="s">
        <v>801</v>
      </c>
      <c r="B1047" s="15" t="s">
        <v>450</v>
      </c>
      <c r="C1047" s="15" t="s">
        <v>1482</v>
      </c>
      <c r="D1047" s="15" t="str">
        <f aca="false">IF(ISNUMBER(MATCH(B1047,Pages!$B$2:$B$98,0)),"Yes","Check")</f>
        <v>Yes</v>
      </c>
    </row>
    <row r="1048" customFormat="false" ht="15" hidden="false" customHeight="false" outlineLevel="0" collapsed="false">
      <c r="A1048" s="15" t="s">
        <v>801</v>
      </c>
      <c r="B1048" s="15" t="s">
        <v>183</v>
      </c>
      <c r="C1048" s="15" t="s">
        <v>1506</v>
      </c>
      <c r="D1048" s="15" t="str">
        <f aca="false">IF(ISNUMBER(MATCH(B1048,Pages!$B$2:$B$98,0)),"Yes","Check")</f>
        <v>Yes</v>
      </c>
    </row>
    <row r="1049" customFormat="false" ht="15" hidden="false" customHeight="false" outlineLevel="0" collapsed="false">
      <c r="A1049" s="15" t="s">
        <v>801</v>
      </c>
      <c r="B1049" s="15" t="s">
        <v>881</v>
      </c>
      <c r="C1049" s="15" t="s">
        <v>1503</v>
      </c>
      <c r="D1049" s="15" t="str">
        <f aca="false">IF(ISNUMBER(MATCH(B1049,Pages!$B$2:$B$98,0)),"Yes","Check")</f>
        <v>Yes</v>
      </c>
    </row>
    <row r="1050" customFormat="false" ht="15" hidden="false" customHeight="false" outlineLevel="0" collapsed="false">
      <c r="A1050" s="15" t="s">
        <v>801</v>
      </c>
      <c r="B1050" s="15" t="s">
        <v>116</v>
      </c>
      <c r="C1050" s="15" t="s">
        <v>1605</v>
      </c>
      <c r="D1050" s="15" t="str">
        <f aca="false">IF(ISNUMBER(MATCH(B1050,Pages!$B$2:$B$98,0)),"Yes","Check")</f>
        <v>Yes</v>
      </c>
    </row>
    <row r="1051" customFormat="false" ht="15" hidden="false" customHeight="false" outlineLevel="0" collapsed="false">
      <c r="A1051" s="15" t="s">
        <v>801</v>
      </c>
      <c r="B1051" s="15" t="s">
        <v>125</v>
      </c>
      <c r="C1051" s="15" t="s">
        <v>1606</v>
      </c>
      <c r="D1051" s="15" t="str">
        <f aca="false">IF(ISNUMBER(MATCH(B1051,Pages!$B$2:$B$98,0)),"Yes","Check")</f>
        <v>Yes</v>
      </c>
    </row>
    <row r="1052" customFormat="false" ht="15" hidden="false" customHeight="false" outlineLevel="0" collapsed="false">
      <c r="A1052" s="15" t="s">
        <v>801</v>
      </c>
      <c r="B1052" s="15" t="s">
        <v>195</v>
      </c>
      <c r="C1052" s="15" t="s">
        <v>1676</v>
      </c>
      <c r="D1052" s="15" t="str">
        <f aca="false">IF(ISNUMBER(MATCH(B1052,Pages!$B$2:$B$98,0)),"Yes","Check")</f>
        <v>Yes</v>
      </c>
    </row>
    <row r="1053" customFormat="false" ht="15" hidden="false" customHeight="false" outlineLevel="0" collapsed="false">
      <c r="A1053" s="15" t="s">
        <v>801</v>
      </c>
      <c r="B1053" s="15" t="s">
        <v>775</v>
      </c>
      <c r="C1053" s="15" t="s">
        <v>1677</v>
      </c>
      <c r="D1053" s="15" t="str">
        <f aca="false">IF(ISNUMBER(MATCH(B1053,Pages!$B$2:$B$98,0)),"Yes","Check")</f>
        <v>Yes</v>
      </c>
    </row>
    <row r="1054" customFormat="false" ht="15" hidden="false" customHeight="false" outlineLevel="0" collapsed="false">
      <c r="A1054" s="15" t="s">
        <v>801</v>
      </c>
      <c r="B1054" s="15" t="s">
        <v>116</v>
      </c>
      <c r="C1054" s="15" t="s">
        <v>1483</v>
      </c>
      <c r="D1054" s="15" t="str">
        <f aca="false">IF(ISNUMBER(MATCH(B1054,Pages!$B$2:$B$98,0)),"Yes","Check")</f>
        <v>Yes</v>
      </c>
    </row>
    <row r="1055" customFormat="false" ht="15" hidden="false" customHeight="false" outlineLevel="0" collapsed="false">
      <c r="A1055" s="15" t="s">
        <v>810</v>
      </c>
      <c r="B1055" s="15" t="s">
        <v>593</v>
      </c>
      <c r="C1055" s="15" t="s">
        <v>1861</v>
      </c>
      <c r="D1055" s="15" t="str">
        <f aca="false">IF(ISNUMBER(MATCH(B1055,Pages!$B$2:$B$98,0)),"Yes","Check")</f>
        <v>Yes</v>
      </c>
    </row>
    <row r="1056" customFormat="false" ht="15" hidden="false" customHeight="false" outlineLevel="0" collapsed="false">
      <c r="A1056" s="15" t="s">
        <v>810</v>
      </c>
      <c r="B1056" s="15" t="s">
        <v>183</v>
      </c>
      <c r="C1056" s="15" t="s">
        <v>1487</v>
      </c>
      <c r="D1056" s="15" t="str">
        <f aca="false">IF(ISNUMBER(MATCH(B1056,Pages!$B$2:$B$98,0)),"Yes","Check")</f>
        <v>Yes</v>
      </c>
    </row>
    <row r="1057" customFormat="false" ht="15" hidden="false" customHeight="false" outlineLevel="0" collapsed="false">
      <c r="A1057" s="15" t="s">
        <v>810</v>
      </c>
      <c r="B1057" s="15" t="s">
        <v>540</v>
      </c>
      <c r="C1057" s="15" t="s">
        <v>1634</v>
      </c>
      <c r="D1057" s="15" t="str">
        <f aca="false">IF(ISNUMBER(MATCH(B1057,Pages!$B$2:$B$98,0)),"Yes","Check")</f>
        <v>Yes</v>
      </c>
    </row>
    <row r="1058" customFormat="false" ht="15" hidden="false" customHeight="false" outlineLevel="0" collapsed="false">
      <c r="A1058" s="15" t="s">
        <v>810</v>
      </c>
      <c r="B1058" s="15" t="s">
        <v>349</v>
      </c>
      <c r="C1058" s="15" t="s">
        <v>1635</v>
      </c>
      <c r="D1058" s="15" t="str">
        <f aca="false">IF(ISNUMBER(MATCH(B1058,Pages!$B$2:$B$98,0)),"Yes","Check")</f>
        <v>Yes</v>
      </c>
    </row>
    <row r="1059" customFormat="false" ht="15" hidden="false" customHeight="false" outlineLevel="0" collapsed="false">
      <c r="A1059" s="15" t="s">
        <v>810</v>
      </c>
      <c r="B1059" s="15" t="s">
        <v>304</v>
      </c>
      <c r="C1059" s="15" t="s">
        <v>1636</v>
      </c>
      <c r="D1059" s="15" t="str">
        <f aca="false">IF(ISNUMBER(MATCH(B1059,Pages!$B$2:$B$98,0)),"Yes","Check")</f>
        <v>Yes</v>
      </c>
    </row>
    <row r="1060" customFormat="false" ht="15" hidden="false" customHeight="false" outlineLevel="0" collapsed="false">
      <c r="A1060" s="15" t="s">
        <v>810</v>
      </c>
      <c r="B1060" s="15" t="s">
        <v>531</v>
      </c>
      <c r="C1060" s="15" t="s">
        <v>1631</v>
      </c>
      <c r="D1060" s="15" t="str">
        <f aca="false">IF(ISNUMBER(MATCH(B1060,Pages!$B$2:$B$98,0)),"Yes","Check")</f>
        <v>Yes</v>
      </c>
    </row>
    <row r="1061" customFormat="false" ht="15" hidden="false" customHeight="false" outlineLevel="0" collapsed="false">
      <c r="A1061" s="15" t="s">
        <v>810</v>
      </c>
      <c r="B1061" s="15" t="s">
        <v>237</v>
      </c>
      <c r="C1061" s="15" t="s">
        <v>1746</v>
      </c>
      <c r="D1061" s="15" t="str">
        <f aca="false">IF(ISNUMBER(MATCH(B1061,Pages!$B$2:$B$98,0)),"Yes","Check")</f>
        <v>Yes</v>
      </c>
    </row>
    <row r="1062" customFormat="false" ht="15" hidden="false" customHeight="false" outlineLevel="0" collapsed="false">
      <c r="A1062" s="15" t="s">
        <v>810</v>
      </c>
      <c r="B1062" s="15" t="s">
        <v>116</v>
      </c>
      <c r="C1062" s="15" t="s">
        <v>1605</v>
      </c>
      <c r="D1062" s="15" t="str">
        <f aca="false">IF(ISNUMBER(MATCH(B1062,Pages!$B$2:$B$98,0)),"Yes","Check")</f>
        <v>Yes</v>
      </c>
    </row>
    <row r="1063" customFormat="false" ht="15" hidden="false" customHeight="false" outlineLevel="0" collapsed="false">
      <c r="A1063" s="15" t="s">
        <v>810</v>
      </c>
      <c r="B1063" s="15" t="s">
        <v>304</v>
      </c>
      <c r="C1063" s="15" t="s">
        <v>1637</v>
      </c>
      <c r="D1063" s="15" t="str">
        <f aca="false">IF(ISNUMBER(MATCH(B1063,Pages!$B$2:$B$98,0)),"Yes","Check")</f>
        <v>Yes</v>
      </c>
    </row>
    <row r="1064" customFormat="false" ht="23.85" hidden="false" customHeight="false" outlineLevel="0" collapsed="false">
      <c r="A1064" s="15" t="s">
        <v>810</v>
      </c>
      <c r="B1064" s="15" t="s">
        <v>349</v>
      </c>
      <c r="C1064" s="15" t="s">
        <v>1638</v>
      </c>
      <c r="D1064" s="15" t="str">
        <f aca="false">IF(ISNUMBER(MATCH(B1064,Pages!$B$2:$B$98,0)),"Yes","Check")</f>
        <v>Yes</v>
      </c>
    </row>
    <row r="1065" customFormat="false" ht="23.85" hidden="false" customHeight="false" outlineLevel="0" collapsed="false">
      <c r="A1065" s="15" t="s">
        <v>810</v>
      </c>
      <c r="B1065" s="15" t="s">
        <v>540</v>
      </c>
      <c r="C1065" s="15" t="s">
        <v>1639</v>
      </c>
      <c r="D1065" s="15" t="str">
        <f aca="false">IF(ISNUMBER(MATCH(B1065,Pages!$B$2:$B$98,0)),"Yes","Check")</f>
        <v>Yes</v>
      </c>
    </row>
    <row r="1066" customFormat="false" ht="15" hidden="false" customHeight="false" outlineLevel="0" collapsed="false">
      <c r="A1066" s="15" t="s">
        <v>810</v>
      </c>
      <c r="B1066" s="15" t="s">
        <v>593</v>
      </c>
      <c r="C1066" s="15" t="s">
        <v>1805</v>
      </c>
      <c r="D1066" s="15" t="str">
        <f aca="false">IF(ISNUMBER(MATCH(B1066,Pages!$B$2:$B$98,0)),"Yes","Check")</f>
        <v>Yes</v>
      </c>
    </row>
    <row r="1067" customFormat="false" ht="15" hidden="false" customHeight="false" outlineLevel="0" collapsed="false">
      <c r="A1067" s="15" t="s">
        <v>810</v>
      </c>
      <c r="B1067" s="15" t="s">
        <v>748</v>
      </c>
      <c r="C1067" s="15" t="s">
        <v>1616</v>
      </c>
      <c r="D1067" s="15" t="str">
        <f aca="false">IF(ISNUMBER(MATCH(B1067,Pages!$B$2:$B$98,0)),"Yes","Check")</f>
        <v>Yes</v>
      </c>
    </row>
    <row r="1068" customFormat="false" ht="15" hidden="false" customHeight="false" outlineLevel="0" collapsed="false">
      <c r="A1068" s="15" t="s">
        <v>810</v>
      </c>
      <c r="B1068" s="15" t="s">
        <v>116</v>
      </c>
      <c r="C1068" s="15" t="s">
        <v>1483</v>
      </c>
      <c r="D1068" s="15" t="str">
        <f aca="false">IF(ISNUMBER(MATCH(B1068,Pages!$B$2:$B$98,0)),"Yes","Check")</f>
        <v>Yes</v>
      </c>
    </row>
    <row r="1069" customFormat="false" ht="15" hidden="false" customHeight="false" outlineLevel="0" collapsed="false">
      <c r="A1069" s="15" t="s">
        <v>819</v>
      </c>
      <c r="B1069" s="15" t="s">
        <v>183</v>
      </c>
      <c r="C1069" s="15" t="s">
        <v>1862</v>
      </c>
      <c r="D1069" s="15" t="str">
        <f aca="false">IF(ISNUMBER(MATCH(B1069,Pages!$B$2:$B$98,0)),"Yes","Check")</f>
        <v>Yes</v>
      </c>
    </row>
    <row r="1070" customFormat="false" ht="15" hidden="false" customHeight="false" outlineLevel="0" collapsed="false">
      <c r="A1070" s="15" t="s">
        <v>819</v>
      </c>
      <c r="B1070" s="15" t="s">
        <v>477</v>
      </c>
      <c r="C1070" s="15" t="s">
        <v>1863</v>
      </c>
      <c r="D1070" s="15" t="str">
        <f aca="false">IF(ISNUMBER(MATCH(B1070,Pages!$B$2:$B$98,0)),"Yes","Check")</f>
        <v>Yes</v>
      </c>
    </row>
    <row r="1071" customFormat="false" ht="15" hidden="false" customHeight="false" outlineLevel="0" collapsed="false">
      <c r="A1071" s="15" t="s">
        <v>819</v>
      </c>
      <c r="B1071" s="15" t="s">
        <v>486</v>
      </c>
      <c r="C1071" s="15" t="s">
        <v>1736</v>
      </c>
      <c r="D1071" s="15" t="str">
        <f aca="false">IF(ISNUMBER(MATCH(B1071,Pages!$B$2:$B$98,0)),"Yes","Check")</f>
        <v>Yes</v>
      </c>
    </row>
    <row r="1072" customFormat="false" ht="15" hidden="false" customHeight="false" outlineLevel="0" collapsed="false">
      <c r="A1072" s="15" t="s">
        <v>819</v>
      </c>
      <c r="B1072" s="15" t="s">
        <v>322</v>
      </c>
      <c r="C1072" s="15" t="s">
        <v>326</v>
      </c>
      <c r="D1072" s="15" t="str">
        <f aca="false">IF(ISNUMBER(MATCH(B1072,Pages!$B$2:$B$98,0)),"Yes","Check")</f>
        <v>Yes</v>
      </c>
    </row>
    <row r="1073" customFormat="false" ht="15" hidden="false" customHeight="false" outlineLevel="0" collapsed="false">
      <c r="A1073" s="15" t="s">
        <v>819</v>
      </c>
      <c r="B1073" s="15" t="s">
        <v>450</v>
      </c>
      <c r="C1073" s="15" t="s">
        <v>1492</v>
      </c>
      <c r="D1073" s="15" t="str">
        <f aca="false">IF(ISNUMBER(MATCH(B1073,Pages!$B$2:$B$98,0)),"Yes","Check")</f>
        <v>Yes</v>
      </c>
    </row>
    <row r="1074" customFormat="false" ht="15" hidden="false" customHeight="false" outlineLevel="0" collapsed="false">
      <c r="A1074" s="15" t="s">
        <v>819</v>
      </c>
      <c r="B1074" s="15" t="s">
        <v>837</v>
      </c>
      <c r="C1074" s="15" t="s">
        <v>1864</v>
      </c>
      <c r="D1074" s="15" t="str">
        <f aca="false">IF(ISNUMBER(MATCH(B1074,Pages!$B$2:$B$98,0)),"Yes","Check")</f>
        <v>Yes</v>
      </c>
    </row>
    <row r="1075" customFormat="false" ht="15" hidden="false" customHeight="false" outlineLevel="0" collapsed="false">
      <c r="A1075" s="15" t="s">
        <v>819</v>
      </c>
      <c r="B1075" s="15" t="s">
        <v>775</v>
      </c>
      <c r="C1075" s="15" t="s">
        <v>1673</v>
      </c>
      <c r="D1075" s="15" t="str">
        <f aca="false">IF(ISNUMBER(MATCH(B1075,Pages!$B$2:$B$98,0)),"Yes","Check")</f>
        <v>Yes</v>
      </c>
    </row>
    <row r="1076" customFormat="false" ht="15" hidden="false" customHeight="false" outlineLevel="0" collapsed="false">
      <c r="A1076" s="15" t="s">
        <v>819</v>
      </c>
      <c r="B1076" s="15" t="s">
        <v>881</v>
      </c>
      <c r="C1076" s="15" t="s">
        <v>1503</v>
      </c>
      <c r="D1076" s="15" t="str">
        <f aca="false">IF(ISNUMBER(MATCH(B1076,Pages!$B$2:$B$98,0)),"Yes","Check")</f>
        <v>Yes</v>
      </c>
    </row>
    <row r="1077" customFormat="false" ht="15" hidden="false" customHeight="false" outlineLevel="0" collapsed="false">
      <c r="A1077" s="15" t="s">
        <v>819</v>
      </c>
      <c r="B1077" s="15" t="s">
        <v>116</v>
      </c>
      <c r="C1077" s="15" t="s">
        <v>1605</v>
      </c>
      <c r="D1077" s="15" t="str">
        <f aca="false">IF(ISNUMBER(MATCH(B1077,Pages!$B$2:$B$98,0)),"Yes","Check")</f>
        <v>Yes</v>
      </c>
    </row>
    <row r="1078" customFormat="false" ht="23.85" hidden="false" customHeight="false" outlineLevel="0" collapsed="false">
      <c r="A1078" s="15" t="s">
        <v>819</v>
      </c>
      <c r="B1078" s="15" t="s">
        <v>322</v>
      </c>
      <c r="C1078" s="15" t="s">
        <v>1760</v>
      </c>
      <c r="D1078" s="15" t="str">
        <f aca="false">IF(ISNUMBER(MATCH(B1078,Pages!$B$2:$B$98,0)),"Yes","Check")</f>
        <v>Yes</v>
      </c>
    </row>
    <row r="1079" customFormat="false" ht="15" hidden="false" customHeight="false" outlineLevel="0" collapsed="false">
      <c r="A1079" s="15" t="s">
        <v>819</v>
      </c>
      <c r="B1079" s="15" t="s">
        <v>477</v>
      </c>
      <c r="C1079" s="15" t="s">
        <v>1738</v>
      </c>
      <c r="D1079" s="15" t="str">
        <f aca="false">IF(ISNUMBER(MATCH(B1079,Pages!$B$2:$B$98,0)),"Yes","Check")</f>
        <v>Yes</v>
      </c>
    </row>
    <row r="1080" customFormat="false" ht="15" hidden="false" customHeight="false" outlineLevel="0" collapsed="false">
      <c r="A1080" s="15" t="s">
        <v>819</v>
      </c>
      <c r="B1080" s="15" t="s">
        <v>775</v>
      </c>
      <c r="C1080" s="15" t="s">
        <v>1677</v>
      </c>
      <c r="D1080" s="15" t="str">
        <f aca="false">IF(ISNUMBER(MATCH(B1080,Pages!$B$2:$B$98,0)),"Yes","Check")</f>
        <v>Yes</v>
      </c>
    </row>
    <row r="1081" customFormat="false" ht="15" hidden="false" customHeight="false" outlineLevel="0" collapsed="false">
      <c r="A1081" s="15" t="s">
        <v>819</v>
      </c>
      <c r="B1081" s="15" t="s">
        <v>881</v>
      </c>
      <c r="C1081" s="15" t="s">
        <v>1690</v>
      </c>
      <c r="D1081" s="15" t="str">
        <f aca="false">IF(ISNUMBER(MATCH(B1081,Pages!$B$2:$B$98,0)),"Yes","Check")</f>
        <v>Yes</v>
      </c>
    </row>
    <row r="1082" customFormat="false" ht="15" hidden="false" customHeight="false" outlineLevel="0" collapsed="false">
      <c r="A1082" s="15" t="s">
        <v>819</v>
      </c>
      <c r="B1082" s="15" t="s">
        <v>116</v>
      </c>
      <c r="C1082" s="15" t="s">
        <v>1483</v>
      </c>
      <c r="D1082" s="15" t="str">
        <f aca="false">IF(ISNUMBER(MATCH(B1082,Pages!$B$2:$B$98,0)),"Yes","Check")</f>
        <v>Yes</v>
      </c>
    </row>
    <row r="1083" customFormat="false" ht="15" hidden="false" customHeight="false" outlineLevel="0" collapsed="false">
      <c r="A1083" s="15" t="s">
        <v>828</v>
      </c>
      <c r="B1083" s="15" t="s">
        <v>217</v>
      </c>
      <c r="C1083" s="15" t="s">
        <v>1865</v>
      </c>
      <c r="D1083" s="15" t="str">
        <f aca="false">IF(ISNUMBER(MATCH(B1083,Pages!$B$2:$B$98,0)),"Yes","Check")</f>
        <v>Yes</v>
      </c>
    </row>
    <row r="1084" customFormat="false" ht="15" hidden="false" customHeight="false" outlineLevel="0" collapsed="false">
      <c r="A1084" s="15" t="s">
        <v>828</v>
      </c>
      <c r="B1084" s="15" t="s">
        <v>183</v>
      </c>
      <c r="C1084" s="15" t="s">
        <v>1866</v>
      </c>
      <c r="D1084" s="15" t="str">
        <f aca="false">IF(ISNUMBER(MATCH(B1084,Pages!$B$2:$B$98,0)),"Yes","Check")</f>
        <v>Yes</v>
      </c>
    </row>
    <row r="1085" customFormat="false" ht="15" hidden="false" customHeight="false" outlineLevel="0" collapsed="false">
      <c r="A1085" s="15" t="s">
        <v>828</v>
      </c>
      <c r="B1085" s="15" t="s">
        <v>237</v>
      </c>
      <c r="C1085" s="15" t="s">
        <v>1746</v>
      </c>
      <c r="D1085" s="15" t="str">
        <f aca="false">IF(ISNUMBER(MATCH(B1085,Pages!$B$2:$B$98,0)),"Yes","Check")</f>
        <v>Yes</v>
      </c>
    </row>
    <row r="1086" customFormat="false" ht="15" hidden="false" customHeight="false" outlineLevel="0" collapsed="false">
      <c r="A1086" s="15" t="s">
        <v>828</v>
      </c>
      <c r="B1086" s="15" t="s">
        <v>304</v>
      </c>
      <c r="C1086" s="15" t="s">
        <v>1867</v>
      </c>
      <c r="D1086" s="15" t="str">
        <f aca="false">IF(ISNUMBER(MATCH(B1086,Pages!$B$2:$B$98,0)),"Yes","Check")</f>
        <v>Yes</v>
      </c>
    </row>
    <row r="1087" customFormat="false" ht="15" hidden="false" customHeight="false" outlineLevel="0" collapsed="false">
      <c r="A1087" s="15" t="s">
        <v>828</v>
      </c>
      <c r="B1087" s="15" t="s">
        <v>459</v>
      </c>
      <c r="C1087" s="15" t="s">
        <v>1739</v>
      </c>
      <c r="D1087" s="15" t="str">
        <f aca="false">IF(ISNUMBER(MATCH(B1087,Pages!$B$2:$B$98,0)),"Yes","Check")</f>
        <v>Yes</v>
      </c>
    </row>
    <row r="1088" customFormat="false" ht="15" hidden="false" customHeight="false" outlineLevel="0" collapsed="false">
      <c r="A1088" s="15" t="s">
        <v>828</v>
      </c>
      <c r="B1088" s="15" t="s">
        <v>748</v>
      </c>
      <c r="C1088" s="15" t="s">
        <v>1654</v>
      </c>
      <c r="D1088" s="15" t="str">
        <f aca="false">IF(ISNUMBER(MATCH(B1088,Pages!$B$2:$B$98,0)),"Yes","Check")</f>
        <v>Yes</v>
      </c>
    </row>
    <row r="1089" customFormat="false" ht="15" hidden="false" customHeight="false" outlineLevel="0" collapsed="false">
      <c r="A1089" s="15" t="s">
        <v>828</v>
      </c>
      <c r="B1089" s="15" t="s">
        <v>116</v>
      </c>
      <c r="C1089" s="15" t="s">
        <v>1605</v>
      </c>
      <c r="D1089" s="15" t="str">
        <f aca="false">IF(ISNUMBER(MATCH(B1089,Pages!$B$2:$B$98,0)),"Yes","Check")</f>
        <v>Yes</v>
      </c>
    </row>
    <row r="1090" customFormat="false" ht="15" hidden="false" customHeight="false" outlineLevel="0" collapsed="false">
      <c r="A1090" s="15" t="s">
        <v>828</v>
      </c>
      <c r="B1090" s="15" t="s">
        <v>217</v>
      </c>
      <c r="C1090" s="15" t="s">
        <v>1724</v>
      </c>
      <c r="D1090" s="15" t="str">
        <f aca="false">IF(ISNUMBER(MATCH(B1090,Pages!$B$2:$B$98,0)),"Yes","Check")</f>
        <v>Yes</v>
      </c>
    </row>
    <row r="1091" customFormat="false" ht="23.85" hidden="false" customHeight="false" outlineLevel="0" collapsed="false">
      <c r="A1091" s="15" t="s">
        <v>828</v>
      </c>
      <c r="B1091" s="15" t="s">
        <v>237</v>
      </c>
      <c r="C1091" s="15" t="s">
        <v>1661</v>
      </c>
      <c r="D1091" s="15" t="str">
        <f aca="false">IF(ISNUMBER(MATCH(B1091,Pages!$B$2:$B$98,0)),"Yes","Check")</f>
        <v>Yes</v>
      </c>
    </row>
    <row r="1092" customFormat="false" ht="23.85" hidden="false" customHeight="false" outlineLevel="0" collapsed="false">
      <c r="A1092" s="15" t="s">
        <v>828</v>
      </c>
      <c r="B1092" s="15" t="s">
        <v>459</v>
      </c>
      <c r="C1092" s="15" t="s">
        <v>1625</v>
      </c>
      <c r="D1092" s="15" t="str">
        <f aca="false">IF(ISNUMBER(MATCH(B1092,Pages!$B$2:$B$98,0)),"Yes","Check")</f>
        <v>Yes</v>
      </c>
    </row>
    <row r="1093" customFormat="false" ht="15" hidden="false" customHeight="false" outlineLevel="0" collapsed="false">
      <c r="A1093" s="15" t="s">
        <v>828</v>
      </c>
      <c r="B1093" s="15" t="s">
        <v>748</v>
      </c>
      <c r="C1093" s="15" t="s">
        <v>1616</v>
      </c>
      <c r="D1093" s="15" t="str">
        <f aca="false">IF(ISNUMBER(MATCH(B1093,Pages!$B$2:$B$98,0)),"Yes","Check")</f>
        <v>Yes</v>
      </c>
    </row>
    <row r="1094" customFormat="false" ht="15" hidden="false" customHeight="false" outlineLevel="0" collapsed="false">
      <c r="A1094" s="15" t="s">
        <v>828</v>
      </c>
      <c r="B1094" s="15" t="s">
        <v>116</v>
      </c>
      <c r="C1094" s="15" t="s">
        <v>1483</v>
      </c>
      <c r="D1094" s="15" t="str">
        <f aca="false">IF(ISNUMBER(MATCH(B1094,Pages!$B$2:$B$98,0)),"Yes","Check")</f>
        <v>Yes</v>
      </c>
    </row>
    <row r="1095" customFormat="false" ht="15" hidden="false" customHeight="false" outlineLevel="0" collapsed="false">
      <c r="A1095" s="15" t="s">
        <v>837</v>
      </c>
      <c r="B1095" s="15" t="s">
        <v>331</v>
      </c>
      <c r="C1095" s="15" t="s">
        <v>1600</v>
      </c>
      <c r="D1095" s="15" t="str">
        <f aca="false">IF(ISNUMBER(MATCH(B1095,Pages!$B$2:$B$98,0)),"Yes","Check")</f>
        <v>Yes</v>
      </c>
    </row>
    <row r="1096" customFormat="false" ht="15" hidden="false" customHeight="false" outlineLevel="0" collapsed="false">
      <c r="A1096" s="15" t="s">
        <v>837</v>
      </c>
      <c r="B1096" s="15" t="s">
        <v>183</v>
      </c>
      <c r="C1096" s="15" t="s">
        <v>1868</v>
      </c>
      <c r="D1096" s="15" t="str">
        <f aca="false">IF(ISNUMBER(MATCH(B1096,Pages!$B$2:$B$98,0)),"Yes","Check")</f>
        <v>Yes</v>
      </c>
    </row>
    <row r="1097" customFormat="false" ht="15" hidden="false" customHeight="false" outlineLevel="0" collapsed="false">
      <c r="A1097" s="15" t="s">
        <v>837</v>
      </c>
      <c r="B1097" s="15" t="s">
        <v>431</v>
      </c>
      <c r="C1097" s="15" t="s">
        <v>1731</v>
      </c>
      <c r="D1097" s="15" t="str">
        <f aca="false">IF(ISNUMBER(MATCH(B1097,Pages!$B$2:$B$98,0)),"Yes","Check")</f>
        <v>Yes</v>
      </c>
    </row>
    <row r="1098" customFormat="false" ht="15" hidden="false" customHeight="false" outlineLevel="0" collapsed="false">
      <c r="A1098" s="15" t="s">
        <v>837</v>
      </c>
      <c r="B1098" s="15" t="s">
        <v>459</v>
      </c>
      <c r="C1098" s="15" t="s">
        <v>1651</v>
      </c>
      <c r="D1098" s="15" t="str">
        <f aca="false">IF(ISNUMBER(MATCH(B1098,Pages!$B$2:$B$98,0)),"Yes","Check")</f>
        <v>Yes</v>
      </c>
    </row>
    <row r="1099" customFormat="false" ht="15" hidden="false" customHeight="false" outlineLevel="0" collapsed="false">
      <c r="A1099" s="15" t="s">
        <v>837</v>
      </c>
      <c r="B1099" s="15" t="s">
        <v>679</v>
      </c>
      <c r="C1099" s="15" t="s">
        <v>1652</v>
      </c>
      <c r="D1099" s="15" t="str">
        <f aca="false">IF(ISNUMBER(MATCH(B1099,Pages!$B$2:$B$98,0)),"Yes","Check")</f>
        <v>Yes</v>
      </c>
    </row>
    <row r="1100" customFormat="false" ht="15" hidden="false" customHeight="false" outlineLevel="0" collapsed="false">
      <c r="A1100" s="15" t="s">
        <v>837</v>
      </c>
      <c r="B1100" s="15" t="s">
        <v>688</v>
      </c>
      <c r="C1100" s="15" t="s">
        <v>1713</v>
      </c>
      <c r="D1100" s="15" t="str">
        <f aca="false">IF(ISNUMBER(MATCH(B1100,Pages!$B$2:$B$98,0)),"Yes","Check")</f>
        <v>Yes</v>
      </c>
    </row>
    <row r="1101" customFormat="false" ht="15" hidden="false" customHeight="false" outlineLevel="0" collapsed="false">
      <c r="A1101" s="15" t="s">
        <v>837</v>
      </c>
      <c r="B1101" s="15" t="s">
        <v>477</v>
      </c>
      <c r="C1101" s="15" t="s">
        <v>1735</v>
      </c>
      <c r="D1101" s="15" t="str">
        <f aca="false">IF(ISNUMBER(MATCH(B1101,Pages!$B$2:$B$98,0)),"Yes","Check")</f>
        <v>Yes</v>
      </c>
    </row>
    <row r="1102" customFormat="false" ht="15" hidden="false" customHeight="false" outlineLevel="0" collapsed="false">
      <c r="A1102" s="15" t="s">
        <v>837</v>
      </c>
      <c r="B1102" s="15" t="s">
        <v>116</v>
      </c>
      <c r="C1102" s="15" t="s">
        <v>1605</v>
      </c>
      <c r="D1102" s="15" t="str">
        <f aca="false">IF(ISNUMBER(MATCH(B1102,Pages!$B$2:$B$98,0)),"Yes","Check")</f>
        <v>Yes</v>
      </c>
    </row>
    <row r="1103" customFormat="false" ht="15" hidden="false" customHeight="false" outlineLevel="0" collapsed="false">
      <c r="A1103" s="15" t="s">
        <v>837</v>
      </c>
      <c r="B1103" s="15" t="s">
        <v>431</v>
      </c>
      <c r="C1103" s="15" t="s">
        <v>1732</v>
      </c>
      <c r="D1103" s="15" t="str">
        <f aca="false">IF(ISNUMBER(MATCH(B1103,Pages!$B$2:$B$98,0)),"Yes","Check")</f>
        <v>Yes</v>
      </c>
    </row>
    <row r="1104" customFormat="false" ht="23.85" hidden="false" customHeight="false" outlineLevel="0" collapsed="false">
      <c r="A1104" s="15" t="s">
        <v>837</v>
      </c>
      <c r="B1104" s="15" t="s">
        <v>459</v>
      </c>
      <c r="C1104" s="15" t="s">
        <v>1625</v>
      </c>
      <c r="D1104" s="15" t="str">
        <f aca="false">IF(ISNUMBER(MATCH(B1104,Pages!$B$2:$B$98,0)),"Yes","Check")</f>
        <v>Yes</v>
      </c>
    </row>
    <row r="1105" customFormat="false" ht="15" hidden="false" customHeight="false" outlineLevel="0" collapsed="false">
      <c r="A1105" s="15" t="s">
        <v>837</v>
      </c>
      <c r="B1105" s="15" t="s">
        <v>679</v>
      </c>
      <c r="C1105" s="15" t="s">
        <v>1656</v>
      </c>
      <c r="D1105" s="15" t="str">
        <f aca="false">IF(ISNUMBER(MATCH(B1105,Pages!$B$2:$B$98,0)),"Yes","Check")</f>
        <v>Yes</v>
      </c>
    </row>
    <row r="1106" customFormat="false" ht="15" hidden="false" customHeight="false" outlineLevel="0" collapsed="false">
      <c r="A1106" s="15" t="s">
        <v>837</v>
      </c>
      <c r="B1106" s="15" t="s">
        <v>688</v>
      </c>
      <c r="C1106" s="15" t="s">
        <v>1715</v>
      </c>
      <c r="D1106" s="15" t="str">
        <f aca="false">IF(ISNUMBER(MATCH(B1106,Pages!$B$2:$B$98,0)),"Yes","Check")</f>
        <v>Yes</v>
      </c>
    </row>
    <row r="1107" customFormat="false" ht="15" hidden="false" customHeight="false" outlineLevel="0" collapsed="false">
      <c r="A1107" s="15" t="s">
        <v>837</v>
      </c>
      <c r="B1107" s="15" t="s">
        <v>792</v>
      </c>
      <c r="C1107" s="15" t="s">
        <v>1626</v>
      </c>
      <c r="D1107" s="15" t="str">
        <f aca="false">IF(ISNUMBER(MATCH(B1107,Pages!$B$2:$B$98,0)),"Yes","Check")</f>
        <v>Yes</v>
      </c>
    </row>
    <row r="1108" customFormat="false" ht="15" hidden="false" customHeight="false" outlineLevel="0" collapsed="false">
      <c r="A1108" s="15" t="s">
        <v>837</v>
      </c>
      <c r="B1108" s="15" t="s">
        <v>116</v>
      </c>
      <c r="C1108" s="15" t="s">
        <v>1483</v>
      </c>
      <c r="D1108" s="15" t="str">
        <f aca="false">IF(ISNUMBER(MATCH(B1108,Pages!$B$2:$B$98,0)),"Yes","Check")</f>
        <v>Yes</v>
      </c>
    </row>
    <row r="1109" customFormat="false" ht="15" hidden="false" customHeight="false" outlineLevel="0" collapsed="false">
      <c r="A1109" s="15" t="s">
        <v>846</v>
      </c>
      <c r="B1109" s="15" t="s">
        <v>926</v>
      </c>
      <c r="C1109" s="15" t="s">
        <v>1869</v>
      </c>
      <c r="D1109" s="15" t="str">
        <f aca="false">IF(ISNUMBER(MATCH(B1109,Pages!$B$2:$B$98,0)),"Yes","Check")</f>
        <v>Yes</v>
      </c>
    </row>
    <row r="1110" customFormat="false" ht="15" hidden="false" customHeight="false" outlineLevel="0" collapsed="false">
      <c r="A1110" s="15" t="s">
        <v>846</v>
      </c>
      <c r="B1110" s="15" t="s">
        <v>513</v>
      </c>
      <c r="C1110" s="15" t="s">
        <v>1821</v>
      </c>
      <c r="D1110" s="15" t="str">
        <f aca="false">IF(ISNUMBER(MATCH(B1110,Pages!$B$2:$B$98,0)),"Yes","Check")</f>
        <v>Yes</v>
      </c>
    </row>
    <row r="1111" customFormat="false" ht="15" hidden="false" customHeight="false" outlineLevel="0" collapsed="false">
      <c r="A1111" s="15" t="s">
        <v>846</v>
      </c>
      <c r="B1111" s="15" t="s">
        <v>671</v>
      </c>
      <c r="C1111" s="15" t="s">
        <v>1766</v>
      </c>
      <c r="D1111" s="15" t="str">
        <f aca="false">IF(ISNUMBER(MATCH(B1111,Pages!$B$2:$B$98,0)),"Yes","Check")</f>
        <v>Yes</v>
      </c>
    </row>
    <row r="1112" customFormat="false" ht="15" hidden="false" customHeight="false" outlineLevel="0" collapsed="false">
      <c r="A1112" s="15" t="s">
        <v>846</v>
      </c>
      <c r="B1112" s="15" t="s">
        <v>620</v>
      </c>
      <c r="C1112" s="15" t="s">
        <v>1870</v>
      </c>
      <c r="D1112" s="15" t="str">
        <f aca="false">IF(ISNUMBER(MATCH(B1112,Pages!$B$2:$B$98,0)),"Yes","Check")</f>
        <v>Yes</v>
      </c>
    </row>
    <row r="1113" customFormat="false" ht="15" hidden="false" customHeight="false" outlineLevel="0" collapsed="false">
      <c r="A1113" s="15" t="s">
        <v>846</v>
      </c>
      <c r="B1113" s="15" t="s">
        <v>522</v>
      </c>
      <c r="C1113" s="15" t="s">
        <v>1718</v>
      </c>
      <c r="D1113" s="15" t="str">
        <f aca="false">IF(ISNUMBER(MATCH(B1113,Pages!$B$2:$B$98,0)),"Yes","Check")</f>
        <v>Yes</v>
      </c>
    </row>
    <row r="1114" customFormat="false" ht="15" hidden="false" customHeight="false" outlineLevel="0" collapsed="false">
      <c r="A1114" s="15" t="s">
        <v>846</v>
      </c>
      <c r="B1114" s="15" t="s">
        <v>748</v>
      </c>
      <c r="C1114" s="15" t="s">
        <v>1654</v>
      </c>
      <c r="D1114" s="15" t="str">
        <f aca="false">IF(ISNUMBER(MATCH(B1114,Pages!$B$2:$B$98,0)),"Yes","Check")</f>
        <v>Yes</v>
      </c>
    </row>
    <row r="1115" customFormat="false" ht="15" hidden="false" customHeight="false" outlineLevel="0" collapsed="false">
      <c r="A1115" s="15" t="s">
        <v>846</v>
      </c>
      <c r="B1115" s="15" t="s">
        <v>183</v>
      </c>
      <c r="C1115" s="15" t="s">
        <v>1506</v>
      </c>
      <c r="D1115" s="15" t="str">
        <f aca="false">IF(ISNUMBER(MATCH(B1115,Pages!$B$2:$B$98,0)),"Yes","Check")</f>
        <v>Yes</v>
      </c>
    </row>
    <row r="1116" customFormat="false" ht="15" hidden="false" customHeight="false" outlineLevel="0" collapsed="false">
      <c r="A1116" s="15" t="s">
        <v>846</v>
      </c>
      <c r="B1116" s="15" t="s">
        <v>116</v>
      </c>
      <c r="C1116" s="15" t="s">
        <v>1605</v>
      </c>
      <c r="D1116" s="15" t="str">
        <f aca="false">IF(ISNUMBER(MATCH(B1116,Pages!$B$2:$B$98,0)),"Yes","Check")</f>
        <v>Yes</v>
      </c>
    </row>
    <row r="1117" customFormat="false" ht="23.85" hidden="false" customHeight="false" outlineLevel="0" collapsed="false">
      <c r="A1117" s="15" t="s">
        <v>846</v>
      </c>
      <c r="B1117" s="15" t="s">
        <v>513</v>
      </c>
      <c r="C1117" s="15" t="s">
        <v>1827</v>
      </c>
      <c r="D1117" s="15" t="str">
        <f aca="false">IF(ISNUMBER(MATCH(B1117,Pages!$B$2:$B$98,0)),"Yes","Check")</f>
        <v>Yes</v>
      </c>
    </row>
    <row r="1118" customFormat="false" ht="23.85" hidden="false" customHeight="false" outlineLevel="0" collapsed="false">
      <c r="A1118" s="15" t="s">
        <v>846</v>
      </c>
      <c r="B1118" s="15" t="s">
        <v>522</v>
      </c>
      <c r="C1118" s="15" t="s">
        <v>1720</v>
      </c>
      <c r="D1118" s="15" t="str">
        <f aca="false">IF(ISNUMBER(MATCH(B1118,Pages!$B$2:$B$98,0)),"Yes","Check")</f>
        <v>Yes</v>
      </c>
    </row>
    <row r="1119" customFormat="false" ht="15" hidden="false" customHeight="false" outlineLevel="0" collapsed="false">
      <c r="A1119" s="15" t="s">
        <v>846</v>
      </c>
      <c r="B1119" s="15" t="s">
        <v>671</v>
      </c>
      <c r="C1119" s="15" t="s">
        <v>1767</v>
      </c>
      <c r="D1119" s="15" t="str">
        <f aca="false">IF(ISNUMBER(MATCH(B1119,Pages!$B$2:$B$98,0)),"Yes","Check")</f>
        <v>Yes</v>
      </c>
    </row>
    <row r="1120" customFormat="false" ht="15" hidden="false" customHeight="false" outlineLevel="0" collapsed="false">
      <c r="A1120" s="15" t="s">
        <v>846</v>
      </c>
      <c r="B1120" s="15" t="s">
        <v>748</v>
      </c>
      <c r="C1120" s="15" t="s">
        <v>1616</v>
      </c>
      <c r="D1120" s="15" t="str">
        <f aca="false">IF(ISNUMBER(MATCH(B1120,Pages!$B$2:$B$98,0)),"Yes","Check")</f>
        <v>Yes</v>
      </c>
    </row>
    <row r="1121" customFormat="false" ht="15" hidden="false" customHeight="false" outlineLevel="0" collapsed="false">
      <c r="A1121" s="15" t="s">
        <v>846</v>
      </c>
      <c r="B1121" s="15" t="s">
        <v>620</v>
      </c>
      <c r="C1121" s="15" t="s">
        <v>1730</v>
      </c>
      <c r="D1121" s="15" t="str">
        <f aca="false">IF(ISNUMBER(MATCH(B1121,Pages!$B$2:$B$98,0)),"Yes","Check")</f>
        <v>Yes</v>
      </c>
    </row>
    <row r="1122" customFormat="false" ht="15" hidden="false" customHeight="false" outlineLevel="0" collapsed="false">
      <c r="A1122" s="15" t="s">
        <v>846</v>
      </c>
      <c r="B1122" s="15" t="s">
        <v>116</v>
      </c>
      <c r="C1122" s="15" t="s">
        <v>1483</v>
      </c>
      <c r="D1122" s="15" t="str">
        <f aca="false">IF(ISNUMBER(MATCH(B1122,Pages!$B$2:$B$98,0)),"Yes","Check")</f>
        <v>Yes</v>
      </c>
    </row>
    <row r="1123" customFormat="false" ht="15" hidden="false" customHeight="false" outlineLevel="0" collapsed="false">
      <c r="A1123" s="15" t="s">
        <v>855</v>
      </c>
      <c r="B1123" s="15" t="s">
        <v>183</v>
      </c>
      <c r="C1123" s="15" t="s">
        <v>1487</v>
      </c>
      <c r="D1123" s="15" t="str">
        <f aca="false">IF(ISNUMBER(MATCH(B1123,Pages!$B$2:$B$98,0)),"Yes","Check")</f>
        <v>Yes</v>
      </c>
    </row>
    <row r="1124" customFormat="false" ht="15" hidden="false" customHeight="false" outlineLevel="0" collapsed="false">
      <c r="A1124" s="15" t="s">
        <v>855</v>
      </c>
      <c r="B1124" s="15" t="s">
        <v>246</v>
      </c>
      <c r="C1124" s="15" t="s">
        <v>1871</v>
      </c>
      <c r="D1124" s="15" t="str">
        <f aca="false">IF(ISNUMBER(MATCH(B1124,Pages!$B$2:$B$98,0)),"Yes","Check")</f>
        <v>Yes</v>
      </c>
    </row>
    <row r="1125" customFormat="false" ht="15" hidden="false" customHeight="false" outlineLevel="0" collapsed="false">
      <c r="A1125" s="15" t="s">
        <v>855</v>
      </c>
      <c r="B1125" s="15" t="s">
        <v>783</v>
      </c>
      <c r="C1125" s="15" t="s">
        <v>1645</v>
      </c>
      <c r="D1125" s="15" t="str">
        <f aca="false">IF(ISNUMBER(MATCH(B1125,Pages!$B$2:$B$98,0)),"Yes","Check")</f>
        <v>Yes</v>
      </c>
    </row>
    <row r="1126" customFormat="false" ht="15" hidden="false" customHeight="false" outlineLevel="0" collapsed="false">
      <c r="A1126" s="15" t="s">
        <v>855</v>
      </c>
      <c r="B1126" s="15" t="s">
        <v>450</v>
      </c>
      <c r="C1126" s="15" t="s">
        <v>1482</v>
      </c>
      <c r="D1126" s="15" t="str">
        <f aca="false">IF(ISNUMBER(MATCH(B1126,Pages!$B$2:$B$98,0)),"Yes","Check")</f>
        <v>Yes</v>
      </c>
    </row>
    <row r="1127" customFormat="false" ht="15" hidden="false" customHeight="false" outlineLevel="0" collapsed="false">
      <c r="A1127" s="15" t="s">
        <v>855</v>
      </c>
      <c r="B1127" s="15" t="s">
        <v>441</v>
      </c>
      <c r="C1127" s="15" t="s">
        <v>1816</v>
      </c>
      <c r="D1127" s="15" t="str">
        <f aca="false">IF(ISNUMBER(MATCH(B1127,Pages!$B$2:$B$98,0)),"Yes","Check")</f>
        <v>Yes</v>
      </c>
    </row>
    <row r="1128" customFormat="false" ht="15" hidden="false" customHeight="false" outlineLevel="0" collapsed="false">
      <c r="A1128" s="15" t="s">
        <v>855</v>
      </c>
      <c r="B1128" s="15" t="s">
        <v>740</v>
      </c>
      <c r="C1128" s="15" t="s">
        <v>1872</v>
      </c>
      <c r="D1128" s="15" t="str">
        <f aca="false">IF(ISNUMBER(MATCH(B1128,Pages!$B$2:$B$98,0)),"Yes","Check")</f>
        <v>Yes</v>
      </c>
    </row>
    <row r="1129" customFormat="false" ht="15" hidden="false" customHeight="false" outlineLevel="0" collapsed="false">
      <c r="A1129" s="15" t="s">
        <v>855</v>
      </c>
      <c r="B1129" s="15" t="s">
        <v>116</v>
      </c>
      <c r="C1129" s="15" t="s">
        <v>1605</v>
      </c>
      <c r="D1129" s="15" t="str">
        <f aca="false">IF(ISNUMBER(MATCH(B1129,Pages!$B$2:$B$98,0)),"Yes","Check")</f>
        <v>Yes</v>
      </c>
    </row>
    <row r="1130" customFormat="false" ht="15" hidden="false" customHeight="false" outlineLevel="0" collapsed="false">
      <c r="A1130" s="15" t="s">
        <v>855</v>
      </c>
      <c r="B1130" s="15" t="s">
        <v>246</v>
      </c>
      <c r="C1130" s="15" t="s">
        <v>1855</v>
      </c>
      <c r="D1130" s="15" t="str">
        <f aca="false">IF(ISNUMBER(MATCH(B1130,Pages!$B$2:$B$98,0)),"Yes","Check")</f>
        <v>Yes</v>
      </c>
    </row>
    <row r="1131" customFormat="false" ht="15" hidden="false" customHeight="false" outlineLevel="0" collapsed="false">
      <c r="A1131" s="15" t="s">
        <v>855</v>
      </c>
      <c r="B1131" s="15" t="s">
        <v>740</v>
      </c>
      <c r="C1131" s="15" t="s">
        <v>1662</v>
      </c>
      <c r="D1131" s="15" t="str">
        <f aca="false">IF(ISNUMBER(MATCH(B1131,Pages!$B$2:$B$98,0)),"Yes","Check")</f>
        <v>Yes</v>
      </c>
    </row>
    <row r="1132" customFormat="false" ht="15" hidden="false" customHeight="false" outlineLevel="0" collapsed="false">
      <c r="A1132" s="15" t="s">
        <v>855</v>
      </c>
      <c r="B1132" s="15" t="s">
        <v>783</v>
      </c>
      <c r="C1132" s="15" t="s">
        <v>1646</v>
      </c>
      <c r="D1132" s="15" t="str">
        <f aca="false">IF(ISNUMBER(MATCH(B1132,Pages!$B$2:$B$98,0)),"Yes","Check")</f>
        <v>Yes</v>
      </c>
    </row>
    <row r="1133" customFormat="false" ht="15" hidden="false" customHeight="false" outlineLevel="0" collapsed="false">
      <c r="A1133" s="15" t="s">
        <v>855</v>
      </c>
      <c r="B1133" s="15" t="s">
        <v>748</v>
      </c>
      <c r="C1133" s="15" t="s">
        <v>1616</v>
      </c>
      <c r="D1133" s="15" t="str">
        <f aca="false">IF(ISNUMBER(MATCH(B1133,Pages!$B$2:$B$98,0)),"Yes","Check")</f>
        <v>Yes</v>
      </c>
    </row>
    <row r="1134" customFormat="false" ht="15" hidden="false" customHeight="false" outlineLevel="0" collapsed="false">
      <c r="A1134" s="15" t="s">
        <v>855</v>
      </c>
      <c r="B1134" s="15" t="s">
        <v>116</v>
      </c>
      <c r="C1134" s="15" t="s">
        <v>1483</v>
      </c>
      <c r="D1134" s="15" t="str">
        <f aca="false">IF(ISNUMBER(MATCH(B1134,Pages!$B$2:$B$98,0)),"Yes","Check")</f>
        <v>Yes</v>
      </c>
    </row>
    <row r="1135" customFormat="false" ht="15" hidden="false" customHeight="false" outlineLevel="0" collapsed="false">
      <c r="A1135" s="15" t="s">
        <v>864</v>
      </c>
      <c r="B1135" s="15" t="s">
        <v>183</v>
      </c>
      <c r="C1135" s="15" t="s">
        <v>1641</v>
      </c>
      <c r="D1135" s="15" t="str">
        <f aca="false">IF(ISNUMBER(MATCH(B1135,Pages!$B$2:$B$98,0)),"Yes","Check")</f>
        <v>Yes</v>
      </c>
    </row>
    <row r="1136" customFormat="false" ht="15" hidden="false" customHeight="false" outlineLevel="0" collapsed="false">
      <c r="A1136" s="15" t="s">
        <v>864</v>
      </c>
      <c r="B1136" s="15" t="s">
        <v>828</v>
      </c>
      <c r="C1136" s="15" t="s">
        <v>1664</v>
      </c>
      <c r="D1136" s="15" t="str">
        <f aca="false">IF(ISNUMBER(MATCH(B1136,Pages!$B$2:$B$98,0)),"Yes","Check")</f>
        <v>Yes</v>
      </c>
    </row>
    <row r="1137" customFormat="false" ht="15" hidden="false" customHeight="false" outlineLevel="0" collapsed="false">
      <c r="A1137" s="15" t="s">
        <v>864</v>
      </c>
      <c r="B1137" s="15" t="s">
        <v>477</v>
      </c>
      <c r="C1137" s="15" t="s">
        <v>1873</v>
      </c>
      <c r="D1137" s="15" t="str">
        <f aca="false">IF(ISNUMBER(MATCH(B1137,Pages!$B$2:$B$98,0)),"Yes","Check")</f>
        <v>Yes</v>
      </c>
    </row>
    <row r="1138" customFormat="false" ht="15" hidden="false" customHeight="false" outlineLevel="0" collapsed="false">
      <c r="A1138" s="15" t="s">
        <v>864</v>
      </c>
      <c r="B1138" s="15" t="s">
        <v>873</v>
      </c>
      <c r="C1138" s="15" t="s">
        <v>876</v>
      </c>
      <c r="D1138" s="15" t="str">
        <f aca="false">IF(ISNUMBER(MATCH(B1138,Pages!$B$2:$B$98,0)),"Yes","Check")</f>
        <v>Yes</v>
      </c>
    </row>
    <row r="1139" customFormat="false" ht="15" hidden="false" customHeight="false" outlineLevel="0" collapsed="false">
      <c r="A1139" s="15" t="s">
        <v>864</v>
      </c>
      <c r="B1139" s="15" t="s">
        <v>540</v>
      </c>
      <c r="C1139" s="15" t="s">
        <v>1874</v>
      </c>
      <c r="D1139" s="15" t="str">
        <f aca="false">IF(ISNUMBER(MATCH(B1139,Pages!$B$2:$B$98,0)),"Yes","Check")</f>
        <v>Yes</v>
      </c>
    </row>
    <row r="1140" customFormat="false" ht="15" hidden="false" customHeight="false" outlineLevel="0" collapsed="false">
      <c r="A1140" s="15" t="s">
        <v>864</v>
      </c>
      <c r="B1140" s="15" t="s">
        <v>459</v>
      </c>
      <c r="C1140" s="15" t="s">
        <v>1875</v>
      </c>
      <c r="D1140" s="15" t="str">
        <f aca="false">IF(ISNUMBER(MATCH(B1140,Pages!$B$2:$B$98,0)),"Yes","Check")</f>
        <v>Yes</v>
      </c>
    </row>
    <row r="1141" customFormat="false" ht="15" hidden="false" customHeight="false" outlineLevel="0" collapsed="false">
      <c r="A1141" s="15" t="s">
        <v>864</v>
      </c>
      <c r="B1141" s="15" t="s">
        <v>116</v>
      </c>
      <c r="C1141" s="15" t="s">
        <v>1605</v>
      </c>
      <c r="D1141" s="15" t="str">
        <f aca="false">IF(ISNUMBER(MATCH(B1141,Pages!$B$2:$B$98,0)),"Yes","Check")</f>
        <v>Yes</v>
      </c>
    </row>
    <row r="1142" customFormat="false" ht="15" hidden="false" customHeight="false" outlineLevel="0" collapsed="false">
      <c r="A1142" s="15" t="s">
        <v>864</v>
      </c>
      <c r="B1142" s="15" t="s">
        <v>477</v>
      </c>
      <c r="C1142" s="15" t="s">
        <v>1738</v>
      </c>
      <c r="D1142" s="15" t="str">
        <f aca="false">IF(ISNUMBER(MATCH(B1142,Pages!$B$2:$B$98,0)),"Yes","Check")</f>
        <v>Yes</v>
      </c>
    </row>
    <row r="1143" customFormat="false" ht="15" hidden="false" customHeight="false" outlineLevel="0" collapsed="false">
      <c r="A1143" s="15" t="s">
        <v>864</v>
      </c>
      <c r="B1143" s="15" t="s">
        <v>828</v>
      </c>
      <c r="C1143" s="15" t="s">
        <v>1666</v>
      </c>
      <c r="D1143" s="15" t="str">
        <f aca="false">IF(ISNUMBER(MATCH(B1143,Pages!$B$2:$B$98,0)),"Yes","Check")</f>
        <v>Yes</v>
      </c>
    </row>
    <row r="1144" customFormat="false" ht="15" hidden="false" customHeight="false" outlineLevel="0" collapsed="false">
      <c r="A1144" s="15" t="s">
        <v>864</v>
      </c>
      <c r="B1144" s="15" t="s">
        <v>873</v>
      </c>
      <c r="C1144" s="15" t="s">
        <v>1667</v>
      </c>
      <c r="D1144" s="15" t="str">
        <f aca="false">IF(ISNUMBER(MATCH(B1144,Pages!$B$2:$B$98,0)),"Yes","Check")</f>
        <v>Yes</v>
      </c>
    </row>
    <row r="1145" customFormat="false" ht="15" hidden="false" customHeight="false" outlineLevel="0" collapsed="false">
      <c r="A1145" s="15" t="s">
        <v>864</v>
      </c>
      <c r="B1145" s="15" t="s">
        <v>116</v>
      </c>
      <c r="C1145" s="15" t="s">
        <v>1483</v>
      </c>
      <c r="D1145" s="15" t="str">
        <f aca="false">IF(ISNUMBER(MATCH(B1145,Pages!$B$2:$B$98,0)),"Yes","Check")</f>
        <v>Yes</v>
      </c>
    </row>
    <row r="1146" customFormat="false" ht="15" hidden="false" customHeight="false" outlineLevel="0" collapsed="false">
      <c r="A1146" s="15" t="s">
        <v>873</v>
      </c>
      <c r="B1146" s="15" t="s">
        <v>864</v>
      </c>
      <c r="C1146" s="15" t="s">
        <v>1876</v>
      </c>
      <c r="D1146" s="15" t="str">
        <f aca="false">IF(ISNUMBER(MATCH(B1146,Pages!$B$2:$B$98,0)),"Yes","Check")</f>
        <v>Yes</v>
      </c>
    </row>
    <row r="1147" customFormat="false" ht="15" hidden="false" customHeight="false" outlineLevel="0" collapsed="false">
      <c r="A1147" s="15" t="s">
        <v>873</v>
      </c>
      <c r="B1147" s="15" t="s">
        <v>277</v>
      </c>
      <c r="C1147" s="15" t="s">
        <v>1877</v>
      </c>
      <c r="D1147" s="15" t="str">
        <f aca="false">IF(ISNUMBER(MATCH(B1147,Pages!$B$2:$B$98,0)),"Yes","Check")</f>
        <v>Yes</v>
      </c>
    </row>
    <row r="1148" customFormat="false" ht="15" hidden="false" customHeight="false" outlineLevel="0" collapsed="false">
      <c r="A1148" s="15" t="s">
        <v>873</v>
      </c>
      <c r="B1148" s="15" t="s">
        <v>183</v>
      </c>
      <c r="C1148" s="15" t="s">
        <v>1865</v>
      </c>
      <c r="D1148" s="15" t="str">
        <f aca="false">IF(ISNUMBER(MATCH(B1148,Pages!$B$2:$B$98,0)),"Yes","Check")</f>
        <v>Yes</v>
      </c>
    </row>
    <row r="1149" customFormat="false" ht="15" hidden="false" customHeight="false" outlineLevel="0" collapsed="false">
      <c r="A1149" s="15" t="s">
        <v>873</v>
      </c>
      <c r="B1149" s="15" t="s">
        <v>217</v>
      </c>
      <c r="C1149" s="15" t="s">
        <v>1878</v>
      </c>
      <c r="D1149" s="15" t="str">
        <f aca="false">IF(ISNUMBER(MATCH(B1149,Pages!$B$2:$B$98,0)),"Yes","Check")</f>
        <v>Yes</v>
      </c>
    </row>
    <row r="1150" customFormat="false" ht="15" hidden="false" customHeight="false" outlineLevel="0" collapsed="false">
      <c r="A1150" s="15" t="s">
        <v>873</v>
      </c>
      <c r="B1150" s="15" t="s">
        <v>828</v>
      </c>
      <c r="C1150" s="15" t="s">
        <v>1664</v>
      </c>
      <c r="D1150" s="15" t="str">
        <f aca="false">IF(ISNUMBER(MATCH(B1150,Pages!$B$2:$B$98,0)),"Yes","Check")</f>
        <v>Yes</v>
      </c>
    </row>
    <row r="1151" customFormat="false" ht="15" hidden="false" customHeight="false" outlineLevel="0" collapsed="false">
      <c r="A1151" s="15" t="s">
        <v>873</v>
      </c>
      <c r="B1151" s="15" t="s">
        <v>540</v>
      </c>
      <c r="C1151" s="15" t="s">
        <v>1634</v>
      </c>
      <c r="D1151" s="15" t="str">
        <f aca="false">IF(ISNUMBER(MATCH(B1151,Pages!$B$2:$B$98,0)),"Yes","Check")</f>
        <v>Yes</v>
      </c>
    </row>
    <row r="1152" customFormat="false" ht="15" hidden="false" customHeight="false" outlineLevel="0" collapsed="false">
      <c r="A1152" s="15" t="s">
        <v>873</v>
      </c>
      <c r="B1152" s="15" t="s">
        <v>116</v>
      </c>
      <c r="C1152" s="15" t="s">
        <v>1605</v>
      </c>
      <c r="D1152" s="15" t="str">
        <f aca="false">IF(ISNUMBER(MATCH(B1152,Pages!$B$2:$B$98,0)),"Yes","Check")</f>
        <v>Yes</v>
      </c>
    </row>
    <row r="1153" customFormat="false" ht="15" hidden="false" customHeight="false" outlineLevel="0" collapsed="false">
      <c r="A1153" s="15" t="s">
        <v>873</v>
      </c>
      <c r="B1153" s="15" t="s">
        <v>277</v>
      </c>
      <c r="C1153" s="15" t="s">
        <v>1879</v>
      </c>
      <c r="D1153" s="15" t="str">
        <f aca="false">IF(ISNUMBER(MATCH(B1153,Pages!$B$2:$B$98,0)),"Yes","Check")</f>
        <v>Yes</v>
      </c>
    </row>
    <row r="1154" customFormat="false" ht="15" hidden="false" customHeight="false" outlineLevel="0" collapsed="false">
      <c r="A1154" s="15" t="s">
        <v>873</v>
      </c>
      <c r="B1154" s="15" t="s">
        <v>828</v>
      </c>
      <c r="C1154" s="15" t="s">
        <v>1666</v>
      </c>
      <c r="D1154" s="15" t="str">
        <f aca="false">IF(ISNUMBER(MATCH(B1154,Pages!$B$2:$B$98,0)),"Yes","Check")</f>
        <v>Yes</v>
      </c>
    </row>
    <row r="1155" customFormat="false" ht="15" hidden="false" customHeight="false" outlineLevel="0" collapsed="false">
      <c r="A1155" s="15" t="s">
        <v>873</v>
      </c>
      <c r="B1155" s="15" t="s">
        <v>864</v>
      </c>
      <c r="C1155" s="15" t="s">
        <v>1880</v>
      </c>
      <c r="D1155" s="15" t="str">
        <f aca="false">IF(ISNUMBER(MATCH(B1155,Pages!$B$2:$B$98,0)),"Yes","Check")</f>
        <v>Yes</v>
      </c>
    </row>
    <row r="1156" customFormat="false" ht="15" hidden="false" customHeight="false" outlineLevel="0" collapsed="false">
      <c r="A1156" s="15" t="s">
        <v>873</v>
      </c>
      <c r="B1156" s="15" t="s">
        <v>116</v>
      </c>
      <c r="C1156" s="15" t="s">
        <v>1483</v>
      </c>
      <c r="D1156" s="15" t="str">
        <f aca="false">IF(ISNUMBER(MATCH(B1156,Pages!$B$2:$B$98,0)),"Yes","Check")</f>
        <v>Yes</v>
      </c>
    </row>
    <row r="1157" customFormat="false" ht="15" hidden="false" customHeight="false" outlineLevel="0" collapsed="false">
      <c r="A1157" s="15" t="s">
        <v>881</v>
      </c>
      <c r="B1157" s="15" t="s">
        <v>322</v>
      </c>
      <c r="C1157" s="15" t="s">
        <v>326</v>
      </c>
      <c r="D1157" s="15" t="str">
        <f aca="false">IF(ISNUMBER(MATCH(B1157,Pages!$B$2:$B$98,0)),"Yes","Check")</f>
        <v>Yes</v>
      </c>
    </row>
    <row r="1158" customFormat="false" ht="15" hidden="false" customHeight="false" outlineLevel="0" collapsed="false">
      <c r="A1158" s="15" t="s">
        <v>881</v>
      </c>
      <c r="B1158" s="15" t="s">
        <v>125</v>
      </c>
      <c r="C1158" s="15" t="s">
        <v>1672</v>
      </c>
      <c r="D1158" s="15" t="str">
        <f aca="false">IF(ISNUMBER(MATCH(B1158,Pages!$B$2:$B$98,0)),"Yes","Check")</f>
        <v>Yes</v>
      </c>
    </row>
    <row r="1159" customFormat="false" ht="15" hidden="false" customHeight="false" outlineLevel="0" collapsed="false">
      <c r="A1159" s="15" t="s">
        <v>881</v>
      </c>
      <c r="B1159" s="15" t="s">
        <v>819</v>
      </c>
      <c r="C1159" s="15" t="s">
        <v>1675</v>
      </c>
      <c r="D1159" s="15" t="str">
        <f aca="false">IF(ISNUMBER(MATCH(B1159,Pages!$B$2:$B$98,0)),"Yes","Check")</f>
        <v>Yes</v>
      </c>
    </row>
    <row r="1160" customFormat="false" ht="15" hidden="false" customHeight="false" outlineLevel="0" collapsed="false">
      <c r="A1160" s="15" t="s">
        <v>881</v>
      </c>
      <c r="B1160" s="15" t="s">
        <v>585</v>
      </c>
      <c r="C1160" s="15" t="s">
        <v>1881</v>
      </c>
      <c r="D1160" s="15" t="str">
        <f aca="false">IF(ISNUMBER(MATCH(B1160,Pages!$B$2:$B$98,0)),"Yes","Check")</f>
        <v>Yes</v>
      </c>
    </row>
    <row r="1161" customFormat="false" ht="15" hidden="false" customHeight="false" outlineLevel="0" collapsed="false">
      <c r="A1161" s="15" t="s">
        <v>881</v>
      </c>
      <c r="B1161" s="15" t="s">
        <v>450</v>
      </c>
      <c r="C1161" s="15" t="s">
        <v>1492</v>
      </c>
      <c r="D1161" s="15" t="str">
        <f aca="false">IF(ISNUMBER(MATCH(B1161,Pages!$B$2:$B$98,0)),"Yes","Check")</f>
        <v>Yes</v>
      </c>
    </row>
    <row r="1162" customFormat="false" ht="15" hidden="false" customHeight="false" outlineLevel="0" collapsed="false">
      <c r="A1162" s="15" t="s">
        <v>881</v>
      </c>
      <c r="B1162" s="15" t="s">
        <v>775</v>
      </c>
      <c r="C1162" s="15" t="s">
        <v>1673</v>
      </c>
      <c r="D1162" s="15" t="str">
        <f aca="false">IF(ISNUMBER(MATCH(B1162,Pages!$B$2:$B$98,0)),"Yes","Check")</f>
        <v>Yes</v>
      </c>
    </row>
    <row r="1163" customFormat="false" ht="15" hidden="false" customHeight="false" outlineLevel="0" collapsed="false">
      <c r="A1163" s="15" t="s">
        <v>881</v>
      </c>
      <c r="B1163" s="15" t="s">
        <v>183</v>
      </c>
      <c r="C1163" s="15" t="s">
        <v>1506</v>
      </c>
      <c r="D1163" s="15" t="str">
        <f aca="false">IF(ISNUMBER(MATCH(B1163,Pages!$B$2:$B$98,0)),"Yes","Check")</f>
        <v>Yes</v>
      </c>
    </row>
    <row r="1164" customFormat="false" ht="15" hidden="false" customHeight="false" outlineLevel="0" collapsed="false">
      <c r="A1164" s="15" t="s">
        <v>881</v>
      </c>
      <c r="B1164" s="15" t="s">
        <v>116</v>
      </c>
      <c r="C1164" s="15" t="s">
        <v>1605</v>
      </c>
      <c r="D1164" s="15" t="str">
        <f aca="false">IF(ISNUMBER(MATCH(B1164,Pages!$B$2:$B$98,0)),"Yes","Check")</f>
        <v>Yes</v>
      </c>
    </row>
    <row r="1165" customFormat="false" ht="15" hidden="false" customHeight="false" outlineLevel="0" collapsed="false">
      <c r="A1165" s="15" t="s">
        <v>881</v>
      </c>
      <c r="B1165" s="15" t="s">
        <v>125</v>
      </c>
      <c r="C1165" s="15" t="s">
        <v>1606</v>
      </c>
      <c r="D1165" s="15" t="str">
        <f aca="false">IF(ISNUMBER(MATCH(B1165,Pages!$B$2:$B$98,0)),"Yes","Check")</f>
        <v>Yes</v>
      </c>
    </row>
    <row r="1166" customFormat="false" ht="15" hidden="false" customHeight="false" outlineLevel="0" collapsed="false">
      <c r="A1166" s="15" t="s">
        <v>881</v>
      </c>
      <c r="B1166" s="15" t="s">
        <v>775</v>
      </c>
      <c r="C1166" s="15" t="s">
        <v>1677</v>
      </c>
      <c r="D1166" s="15" t="str">
        <f aca="false">IF(ISNUMBER(MATCH(B1166,Pages!$B$2:$B$98,0)),"Yes","Check")</f>
        <v>Yes</v>
      </c>
    </row>
    <row r="1167" customFormat="false" ht="23.85" hidden="false" customHeight="false" outlineLevel="0" collapsed="false">
      <c r="A1167" s="15" t="s">
        <v>881</v>
      </c>
      <c r="B1167" s="15" t="s">
        <v>819</v>
      </c>
      <c r="C1167" s="15" t="s">
        <v>1753</v>
      </c>
      <c r="D1167" s="15" t="str">
        <f aca="false">IF(ISNUMBER(MATCH(B1167,Pages!$B$2:$B$98,0)),"Yes","Check")</f>
        <v>Yes</v>
      </c>
    </row>
    <row r="1168" customFormat="false" ht="15" hidden="false" customHeight="false" outlineLevel="0" collapsed="false">
      <c r="A1168" s="15" t="s">
        <v>881</v>
      </c>
      <c r="B1168" s="15" t="s">
        <v>116</v>
      </c>
      <c r="C1168" s="15" t="s">
        <v>1483</v>
      </c>
      <c r="D1168" s="15" t="str">
        <f aca="false">IF(ISNUMBER(MATCH(B1168,Pages!$B$2:$B$98,0)),"Yes","Check")</f>
        <v>Yes</v>
      </c>
    </row>
    <row r="1169" customFormat="false" ht="15" hidden="false" customHeight="false" outlineLevel="0" collapsed="false">
      <c r="A1169" s="15" t="s">
        <v>890</v>
      </c>
      <c r="B1169" s="15" t="s">
        <v>183</v>
      </c>
      <c r="C1169" s="15" t="s">
        <v>1487</v>
      </c>
      <c r="D1169" s="15" t="str">
        <f aca="false">IF(ISNUMBER(MATCH(B1169,Pages!$B$2:$B$98,0)),"Yes","Check")</f>
        <v>Yes</v>
      </c>
    </row>
    <row r="1170" customFormat="false" ht="15" hidden="false" customHeight="false" outlineLevel="0" collapsed="false">
      <c r="A1170" s="15" t="s">
        <v>890</v>
      </c>
      <c r="B1170" s="15" t="s">
        <v>459</v>
      </c>
      <c r="C1170" s="15" t="s">
        <v>1658</v>
      </c>
      <c r="D1170" s="15" t="str">
        <f aca="false">IF(ISNUMBER(MATCH(B1170,Pages!$B$2:$B$98,0)),"Yes","Check")</f>
        <v>Yes</v>
      </c>
    </row>
    <row r="1171" customFormat="false" ht="15" hidden="false" customHeight="false" outlineLevel="0" collapsed="false">
      <c r="A1171" s="15" t="s">
        <v>890</v>
      </c>
      <c r="B1171" s="15" t="s">
        <v>237</v>
      </c>
      <c r="C1171" s="15" t="s">
        <v>1659</v>
      </c>
      <c r="D1171" s="15" t="str">
        <f aca="false">IF(ISNUMBER(MATCH(B1171,Pages!$B$2:$B$98,0)),"Yes","Check")</f>
        <v>Yes</v>
      </c>
    </row>
    <row r="1172" customFormat="false" ht="15" hidden="false" customHeight="false" outlineLevel="0" collapsed="false">
      <c r="A1172" s="15" t="s">
        <v>890</v>
      </c>
      <c r="B1172" s="15" t="s">
        <v>810</v>
      </c>
      <c r="C1172" s="15" t="s">
        <v>1698</v>
      </c>
      <c r="D1172" s="15" t="str">
        <f aca="false">IF(ISNUMBER(MATCH(B1172,Pages!$B$2:$B$98,0)),"Yes","Check")</f>
        <v>Yes</v>
      </c>
    </row>
    <row r="1173" customFormat="false" ht="15" hidden="false" customHeight="false" outlineLevel="0" collapsed="false">
      <c r="A1173" s="15" t="s">
        <v>890</v>
      </c>
      <c r="B1173" s="15" t="s">
        <v>340</v>
      </c>
      <c r="C1173" s="15" t="s">
        <v>1882</v>
      </c>
      <c r="D1173" s="15" t="str">
        <f aca="false">IF(ISNUMBER(MATCH(B1173,Pages!$B$2:$B$98,0)),"Yes","Check")</f>
        <v>Yes</v>
      </c>
    </row>
    <row r="1174" customFormat="false" ht="15" hidden="false" customHeight="false" outlineLevel="0" collapsed="false">
      <c r="A1174" s="15" t="s">
        <v>890</v>
      </c>
      <c r="B1174" s="15" t="s">
        <v>349</v>
      </c>
      <c r="C1174" s="15" t="s">
        <v>1699</v>
      </c>
      <c r="D1174" s="15" t="str">
        <f aca="false">IF(ISNUMBER(MATCH(B1174,Pages!$B$2:$B$98,0)),"Yes","Check")</f>
        <v>Yes</v>
      </c>
    </row>
    <row r="1175" customFormat="false" ht="15" hidden="false" customHeight="false" outlineLevel="0" collapsed="false">
      <c r="A1175" s="15" t="s">
        <v>890</v>
      </c>
      <c r="B1175" s="15" t="s">
        <v>116</v>
      </c>
      <c r="C1175" s="15" t="s">
        <v>1605</v>
      </c>
      <c r="D1175" s="15" t="str">
        <f aca="false">IF(ISNUMBER(MATCH(B1175,Pages!$B$2:$B$98,0)),"Yes","Check")</f>
        <v>Yes</v>
      </c>
    </row>
    <row r="1176" customFormat="false" ht="23.85" hidden="false" customHeight="false" outlineLevel="0" collapsed="false">
      <c r="A1176" s="15" t="s">
        <v>890</v>
      </c>
      <c r="B1176" s="15" t="s">
        <v>237</v>
      </c>
      <c r="C1176" s="15" t="s">
        <v>1661</v>
      </c>
      <c r="D1176" s="15" t="str">
        <f aca="false">IF(ISNUMBER(MATCH(B1176,Pages!$B$2:$B$98,0)),"Yes","Check")</f>
        <v>Yes</v>
      </c>
    </row>
    <row r="1177" customFormat="false" ht="23.85" hidden="false" customHeight="false" outlineLevel="0" collapsed="false">
      <c r="A1177" s="15" t="s">
        <v>890</v>
      </c>
      <c r="B1177" s="15" t="s">
        <v>349</v>
      </c>
      <c r="C1177" s="15" t="s">
        <v>1638</v>
      </c>
      <c r="D1177" s="15" t="str">
        <f aca="false">IF(ISNUMBER(MATCH(B1177,Pages!$B$2:$B$98,0)),"Yes","Check")</f>
        <v>Yes</v>
      </c>
    </row>
    <row r="1178" customFormat="false" ht="23.85" hidden="false" customHeight="false" outlineLevel="0" collapsed="false">
      <c r="A1178" s="15" t="s">
        <v>890</v>
      </c>
      <c r="B1178" s="15" t="s">
        <v>459</v>
      </c>
      <c r="C1178" s="15" t="s">
        <v>1625</v>
      </c>
      <c r="D1178" s="15" t="str">
        <f aca="false">IF(ISNUMBER(MATCH(B1178,Pages!$B$2:$B$98,0)),"Yes","Check")</f>
        <v>Yes</v>
      </c>
    </row>
    <row r="1179" customFormat="false" ht="15" hidden="false" customHeight="false" outlineLevel="0" collapsed="false">
      <c r="A1179" s="15" t="s">
        <v>890</v>
      </c>
      <c r="B1179" s="15" t="s">
        <v>810</v>
      </c>
      <c r="C1179" s="15" t="s">
        <v>1640</v>
      </c>
      <c r="D1179" s="15" t="str">
        <f aca="false">IF(ISNUMBER(MATCH(B1179,Pages!$B$2:$B$98,0)),"Yes","Check")</f>
        <v>Yes</v>
      </c>
    </row>
    <row r="1180" customFormat="false" ht="15" hidden="false" customHeight="false" outlineLevel="0" collapsed="false">
      <c r="A1180" s="15" t="s">
        <v>890</v>
      </c>
      <c r="B1180" s="15" t="s">
        <v>340</v>
      </c>
      <c r="C1180" s="15" t="s">
        <v>1704</v>
      </c>
      <c r="D1180" s="15" t="str">
        <f aca="false">IF(ISNUMBER(MATCH(B1180,Pages!$B$2:$B$98,0)),"Yes","Check")</f>
        <v>Yes</v>
      </c>
    </row>
    <row r="1181" customFormat="false" ht="15" hidden="false" customHeight="false" outlineLevel="0" collapsed="false">
      <c r="A1181" s="15" t="s">
        <v>890</v>
      </c>
      <c r="B1181" s="15" t="s">
        <v>116</v>
      </c>
      <c r="C1181" s="15" t="s">
        <v>1483</v>
      </c>
      <c r="D1181" s="15" t="str">
        <f aca="false">IF(ISNUMBER(MATCH(B1181,Pages!$B$2:$B$98,0)),"Yes","Check")</f>
        <v>Yes</v>
      </c>
    </row>
    <row r="1182" customFormat="false" ht="15" hidden="false" customHeight="false" outlineLevel="0" collapsed="false">
      <c r="A1182" s="15" t="s">
        <v>899</v>
      </c>
      <c r="B1182" s="15" t="s">
        <v>246</v>
      </c>
      <c r="C1182" s="15" t="s">
        <v>1883</v>
      </c>
      <c r="D1182" s="15" t="str">
        <f aca="false">IF(ISNUMBER(MATCH(B1182,Pages!$B$2:$B$98,0)),"Yes","Check")</f>
        <v>Yes</v>
      </c>
    </row>
    <row r="1183" customFormat="false" ht="15" hidden="false" customHeight="false" outlineLevel="0" collapsed="false">
      <c r="A1183" s="15" t="s">
        <v>899</v>
      </c>
      <c r="B1183" s="15" t="s">
        <v>783</v>
      </c>
      <c r="C1183" s="15" t="s">
        <v>1708</v>
      </c>
      <c r="D1183" s="15" t="str">
        <f aca="false">IF(ISNUMBER(MATCH(B1183,Pages!$B$2:$B$98,0)),"Yes","Check")</f>
        <v>Yes</v>
      </c>
    </row>
    <row r="1184" customFormat="false" ht="15" hidden="false" customHeight="false" outlineLevel="0" collapsed="false">
      <c r="A1184" s="15" t="s">
        <v>899</v>
      </c>
      <c r="B1184" s="15" t="s">
        <v>450</v>
      </c>
      <c r="C1184" s="15" t="s">
        <v>1793</v>
      </c>
      <c r="D1184" s="15" t="str">
        <f aca="false">IF(ISNUMBER(MATCH(B1184,Pages!$B$2:$B$98,0)),"Yes","Check")</f>
        <v>Yes</v>
      </c>
    </row>
    <row r="1185" customFormat="false" ht="15" hidden="false" customHeight="false" outlineLevel="0" collapsed="false">
      <c r="A1185" s="15" t="s">
        <v>899</v>
      </c>
      <c r="B1185" s="15" t="s">
        <v>855</v>
      </c>
      <c r="C1185" s="15" t="s">
        <v>1884</v>
      </c>
      <c r="D1185" s="15" t="str">
        <f aca="false">IF(ISNUMBER(MATCH(B1185,Pages!$B$2:$B$98,0)),"Yes","Check")</f>
        <v>Yes</v>
      </c>
    </row>
    <row r="1186" customFormat="false" ht="15" hidden="false" customHeight="false" outlineLevel="0" collapsed="false">
      <c r="A1186" s="15" t="s">
        <v>899</v>
      </c>
      <c r="B1186" s="15" t="s">
        <v>183</v>
      </c>
      <c r="C1186" s="15" t="s">
        <v>1506</v>
      </c>
      <c r="D1186" s="15" t="str">
        <f aca="false">IF(ISNUMBER(MATCH(B1186,Pages!$B$2:$B$98,0)),"Yes","Check")</f>
        <v>Yes</v>
      </c>
    </row>
    <row r="1187" customFormat="false" ht="15" hidden="false" customHeight="false" outlineLevel="0" collapsed="false">
      <c r="A1187" s="15" t="s">
        <v>899</v>
      </c>
      <c r="B1187" s="15" t="s">
        <v>116</v>
      </c>
      <c r="C1187" s="15" t="s">
        <v>1605</v>
      </c>
      <c r="D1187" s="15" t="str">
        <f aca="false">IF(ISNUMBER(MATCH(B1187,Pages!$B$2:$B$98,0)),"Yes","Check")</f>
        <v>Yes</v>
      </c>
    </row>
    <row r="1188" customFormat="false" ht="15" hidden="false" customHeight="false" outlineLevel="0" collapsed="false">
      <c r="A1188" s="15" t="s">
        <v>899</v>
      </c>
      <c r="B1188" s="15" t="s">
        <v>246</v>
      </c>
      <c r="C1188" s="15" t="s">
        <v>1855</v>
      </c>
      <c r="D1188" s="15" t="str">
        <f aca="false">IF(ISNUMBER(MATCH(B1188,Pages!$B$2:$B$98,0)),"Yes","Check")</f>
        <v>Yes</v>
      </c>
    </row>
    <row r="1189" customFormat="false" ht="15" hidden="false" customHeight="false" outlineLevel="0" collapsed="false">
      <c r="A1189" s="15" t="s">
        <v>899</v>
      </c>
      <c r="B1189" s="15" t="s">
        <v>450</v>
      </c>
      <c r="C1189" s="15" t="s">
        <v>1630</v>
      </c>
      <c r="D1189" s="15" t="str">
        <f aca="false">IF(ISNUMBER(MATCH(B1189,Pages!$B$2:$B$98,0)),"Yes","Check")</f>
        <v>Yes</v>
      </c>
    </row>
    <row r="1190" customFormat="false" ht="23.85" hidden="false" customHeight="false" outlineLevel="0" collapsed="false">
      <c r="A1190" s="15" t="s">
        <v>899</v>
      </c>
      <c r="B1190" s="15" t="s">
        <v>855</v>
      </c>
      <c r="C1190" s="15" t="s">
        <v>1647</v>
      </c>
      <c r="D1190" s="15" t="str">
        <f aca="false">IF(ISNUMBER(MATCH(B1190,Pages!$B$2:$B$98,0)),"Yes","Check")</f>
        <v>Yes</v>
      </c>
    </row>
    <row r="1191" customFormat="false" ht="15" hidden="false" customHeight="false" outlineLevel="0" collapsed="false">
      <c r="A1191" s="15" t="s">
        <v>899</v>
      </c>
      <c r="B1191" s="15" t="s">
        <v>116</v>
      </c>
      <c r="C1191" s="15" t="s">
        <v>1483</v>
      </c>
      <c r="D1191" s="15" t="str">
        <f aca="false">IF(ISNUMBER(MATCH(B1191,Pages!$B$2:$B$98,0)),"Yes","Check")</f>
        <v>Yes</v>
      </c>
    </row>
    <row r="1192" customFormat="false" ht="15" hidden="false" customHeight="false" outlineLevel="0" collapsed="false">
      <c r="A1192" s="15" t="s">
        <v>908</v>
      </c>
      <c r="B1192" s="15" t="s">
        <v>286</v>
      </c>
      <c r="C1192" s="15" t="s">
        <v>1885</v>
      </c>
      <c r="D1192" s="15" t="str">
        <f aca="false">IF(ISNUMBER(MATCH(B1192,Pages!$B$2:$B$98,0)),"Yes","Check")</f>
        <v>Yes</v>
      </c>
    </row>
    <row r="1193" customFormat="false" ht="15" hidden="false" customHeight="false" outlineLevel="0" collapsed="false">
      <c r="A1193" s="15" t="s">
        <v>908</v>
      </c>
      <c r="B1193" s="15" t="s">
        <v>368</v>
      </c>
      <c r="C1193" s="15" t="s">
        <v>1773</v>
      </c>
      <c r="D1193" s="15" t="str">
        <f aca="false">IF(ISNUMBER(MATCH(B1193,Pages!$B$2:$B$98,0)),"Yes","Check")</f>
        <v>Yes</v>
      </c>
    </row>
    <row r="1194" customFormat="false" ht="15" hidden="false" customHeight="false" outlineLevel="0" collapsed="false">
      <c r="A1194" s="15" t="s">
        <v>908</v>
      </c>
      <c r="B1194" s="15" t="s">
        <v>217</v>
      </c>
      <c r="C1194" s="15" t="s">
        <v>1886</v>
      </c>
      <c r="D1194" s="15" t="str">
        <f aca="false">IF(ISNUMBER(MATCH(B1194,Pages!$B$2:$B$98,0)),"Yes","Check")</f>
        <v>Yes</v>
      </c>
    </row>
    <row r="1195" customFormat="false" ht="15" hidden="false" customHeight="false" outlineLevel="0" collapsed="false">
      <c r="A1195" s="15" t="s">
        <v>908</v>
      </c>
      <c r="B1195" s="15" t="s">
        <v>757</v>
      </c>
      <c r="C1195" s="15" t="s">
        <v>1599</v>
      </c>
      <c r="D1195" s="15" t="str">
        <f aca="false">IF(ISNUMBER(MATCH(B1195,Pages!$B$2:$B$98,0)),"Yes","Check")</f>
        <v>Yes</v>
      </c>
    </row>
    <row r="1196" customFormat="false" ht="15" hidden="false" customHeight="false" outlineLevel="0" collapsed="false">
      <c r="A1196" s="15" t="s">
        <v>908</v>
      </c>
      <c r="B1196" s="15" t="s">
        <v>731</v>
      </c>
      <c r="C1196" s="15" t="s">
        <v>1806</v>
      </c>
      <c r="D1196" s="15" t="str">
        <f aca="false">IF(ISNUMBER(MATCH(B1196,Pages!$B$2:$B$98,0)),"Yes","Check")</f>
        <v>Yes</v>
      </c>
    </row>
    <row r="1197" customFormat="false" ht="15" hidden="false" customHeight="false" outlineLevel="0" collapsed="false">
      <c r="A1197" s="15" t="s">
        <v>908</v>
      </c>
      <c r="B1197" s="15" t="s">
        <v>540</v>
      </c>
      <c r="C1197" s="15" t="s">
        <v>1703</v>
      </c>
      <c r="D1197" s="15" t="str">
        <f aca="false">IF(ISNUMBER(MATCH(B1197,Pages!$B$2:$B$98,0)),"Yes","Check")</f>
        <v>Yes</v>
      </c>
    </row>
    <row r="1198" customFormat="false" ht="15" hidden="false" customHeight="false" outlineLevel="0" collapsed="false">
      <c r="A1198" s="15" t="s">
        <v>908</v>
      </c>
      <c r="B1198" s="15" t="s">
        <v>697</v>
      </c>
      <c r="C1198" s="15" t="s">
        <v>700</v>
      </c>
      <c r="D1198" s="15" t="str">
        <f aca="false">IF(ISNUMBER(MATCH(B1198,Pages!$B$2:$B$98,0)),"Yes","Check")</f>
        <v>Yes</v>
      </c>
    </row>
    <row r="1199" customFormat="false" ht="15" hidden="false" customHeight="false" outlineLevel="0" collapsed="false">
      <c r="A1199" s="15" t="s">
        <v>908</v>
      </c>
      <c r="B1199" s="15" t="s">
        <v>116</v>
      </c>
      <c r="C1199" s="15" t="s">
        <v>1605</v>
      </c>
      <c r="D1199" s="15" t="str">
        <f aca="false">IF(ISNUMBER(MATCH(B1199,Pages!$B$2:$B$98,0)),"Yes","Check")</f>
        <v>Yes</v>
      </c>
    </row>
    <row r="1200" customFormat="false" ht="15" hidden="false" customHeight="false" outlineLevel="0" collapsed="false">
      <c r="A1200" s="15" t="s">
        <v>908</v>
      </c>
      <c r="B1200" s="15" t="s">
        <v>217</v>
      </c>
      <c r="C1200" s="15" t="s">
        <v>1724</v>
      </c>
      <c r="D1200" s="15" t="str">
        <f aca="false">IF(ISNUMBER(MATCH(B1200,Pages!$B$2:$B$98,0)),"Yes","Check")</f>
        <v>Yes</v>
      </c>
    </row>
    <row r="1201" customFormat="false" ht="15" hidden="false" customHeight="false" outlineLevel="0" collapsed="false">
      <c r="A1201" s="15" t="s">
        <v>908</v>
      </c>
      <c r="B1201" s="15" t="s">
        <v>368</v>
      </c>
      <c r="C1201" s="15" t="s">
        <v>1847</v>
      </c>
      <c r="D1201" s="15" t="str">
        <f aca="false">IF(ISNUMBER(MATCH(B1201,Pages!$B$2:$B$98,0)),"Yes","Check")</f>
        <v>Yes</v>
      </c>
    </row>
    <row r="1202" customFormat="false" ht="15" hidden="false" customHeight="false" outlineLevel="0" collapsed="false">
      <c r="A1202" s="15" t="s">
        <v>908</v>
      </c>
      <c r="B1202" s="15" t="s">
        <v>697</v>
      </c>
      <c r="C1202" s="15" t="s">
        <v>1860</v>
      </c>
      <c r="D1202" s="15" t="str">
        <f aca="false">IF(ISNUMBER(MATCH(B1202,Pages!$B$2:$B$98,0)),"Yes","Check")</f>
        <v>Yes</v>
      </c>
    </row>
    <row r="1203" customFormat="false" ht="15" hidden="false" customHeight="false" outlineLevel="0" collapsed="false">
      <c r="A1203" s="15" t="s">
        <v>908</v>
      </c>
      <c r="B1203" s="15" t="s">
        <v>757</v>
      </c>
      <c r="C1203" s="15" t="s">
        <v>1608</v>
      </c>
      <c r="D1203" s="15" t="str">
        <f aca="false">IF(ISNUMBER(MATCH(B1203,Pages!$B$2:$B$98,0)),"Yes","Check")</f>
        <v>Yes</v>
      </c>
    </row>
    <row r="1204" customFormat="false" ht="15" hidden="false" customHeight="false" outlineLevel="0" collapsed="false">
      <c r="A1204" s="15" t="s">
        <v>908</v>
      </c>
      <c r="B1204" s="15" t="s">
        <v>722</v>
      </c>
      <c r="C1204" s="15" t="s">
        <v>1609</v>
      </c>
      <c r="D1204" s="15" t="str">
        <f aca="false">IF(ISNUMBER(MATCH(B1204,Pages!$B$2:$B$98,0)),"Yes","Check")</f>
        <v>Yes</v>
      </c>
    </row>
    <row r="1205" customFormat="false" ht="15" hidden="false" customHeight="false" outlineLevel="0" collapsed="false">
      <c r="A1205" s="15" t="s">
        <v>908</v>
      </c>
      <c r="B1205" s="15" t="s">
        <v>116</v>
      </c>
      <c r="C1205" s="15" t="s">
        <v>1483</v>
      </c>
      <c r="D1205" s="15" t="str">
        <f aca="false">IF(ISNUMBER(MATCH(B1205,Pages!$B$2:$B$98,0)),"Yes","Check")</f>
        <v>Yes</v>
      </c>
    </row>
    <row r="1206" customFormat="false" ht="15" hidden="false" customHeight="false" outlineLevel="0" collapsed="false">
      <c r="A1206" s="15" t="s">
        <v>917</v>
      </c>
      <c r="B1206" s="15" t="s">
        <v>125</v>
      </c>
      <c r="C1206" s="15" t="s">
        <v>1604</v>
      </c>
      <c r="D1206" s="15" t="str">
        <f aca="false">IF(ISNUMBER(MATCH(B1206,Pages!$B$2:$B$98,0)),"Yes","Check")</f>
        <v>Yes</v>
      </c>
    </row>
    <row r="1207" customFormat="false" ht="15" hidden="false" customHeight="false" outlineLevel="0" collapsed="false">
      <c r="A1207" s="15" t="s">
        <v>917</v>
      </c>
      <c r="B1207" s="15" t="s">
        <v>183</v>
      </c>
      <c r="C1207" s="15" t="s">
        <v>1771</v>
      </c>
      <c r="D1207" s="15" t="str">
        <f aca="false">IF(ISNUMBER(MATCH(B1207,Pages!$B$2:$B$98,0)),"Yes","Check")</f>
        <v>Yes</v>
      </c>
    </row>
    <row r="1208" customFormat="false" ht="15" hidden="false" customHeight="false" outlineLevel="0" collapsed="false">
      <c r="A1208" s="15" t="s">
        <v>917</v>
      </c>
      <c r="B1208" s="15" t="s">
        <v>395</v>
      </c>
      <c r="C1208" s="15" t="s">
        <v>1887</v>
      </c>
      <c r="D1208" s="15" t="str">
        <f aca="false">IF(ISNUMBER(MATCH(B1208,Pages!$B$2:$B$98,0)),"Yes","Check")</f>
        <v>Yes</v>
      </c>
    </row>
    <row r="1209" customFormat="false" ht="15" hidden="false" customHeight="false" outlineLevel="0" collapsed="false">
      <c r="A1209" s="15" t="s">
        <v>917</v>
      </c>
      <c r="B1209" s="15" t="s">
        <v>531</v>
      </c>
      <c r="C1209" s="15" t="s">
        <v>1888</v>
      </c>
      <c r="D1209" s="15" t="str">
        <f aca="false">IF(ISNUMBER(MATCH(B1209,Pages!$B$2:$B$98,0)),"Yes","Check")</f>
        <v>Yes</v>
      </c>
    </row>
    <row r="1210" customFormat="false" ht="15" hidden="false" customHeight="false" outlineLevel="0" collapsed="false">
      <c r="A1210" s="15" t="s">
        <v>917</v>
      </c>
      <c r="B1210" s="15" t="s">
        <v>792</v>
      </c>
      <c r="C1210" s="15" t="s">
        <v>1775</v>
      </c>
      <c r="D1210" s="15" t="str">
        <f aca="false">IF(ISNUMBER(MATCH(B1210,Pages!$B$2:$B$98,0)),"Yes","Check")</f>
        <v>Yes</v>
      </c>
    </row>
    <row r="1211" customFormat="false" ht="15" hidden="false" customHeight="false" outlineLevel="0" collapsed="false">
      <c r="A1211" s="15" t="s">
        <v>917</v>
      </c>
      <c r="B1211" s="15" t="s">
        <v>697</v>
      </c>
      <c r="C1211" s="15" t="s">
        <v>1889</v>
      </c>
      <c r="D1211" s="15" t="str">
        <f aca="false">IF(ISNUMBER(MATCH(B1211,Pages!$B$2:$B$98,0)),"Yes","Check")</f>
        <v>Yes</v>
      </c>
    </row>
    <row r="1212" customFormat="false" ht="15" hidden="false" customHeight="false" outlineLevel="0" collapsed="false">
      <c r="A1212" s="15" t="s">
        <v>917</v>
      </c>
      <c r="B1212" s="15" t="s">
        <v>116</v>
      </c>
      <c r="C1212" s="15" t="s">
        <v>1605</v>
      </c>
      <c r="D1212" s="15" t="str">
        <f aca="false">IF(ISNUMBER(MATCH(B1212,Pages!$B$2:$B$98,0)),"Yes","Check")</f>
        <v>Yes</v>
      </c>
    </row>
    <row r="1213" customFormat="false" ht="15" hidden="false" customHeight="false" outlineLevel="0" collapsed="false">
      <c r="A1213" s="15" t="s">
        <v>917</v>
      </c>
      <c r="B1213" s="15" t="s">
        <v>125</v>
      </c>
      <c r="C1213" s="15" t="s">
        <v>1606</v>
      </c>
      <c r="D1213" s="15" t="str">
        <f aca="false">IF(ISNUMBER(MATCH(B1213,Pages!$B$2:$B$98,0)),"Yes","Check")</f>
        <v>Yes</v>
      </c>
    </row>
    <row r="1214" customFormat="false" ht="23.85" hidden="false" customHeight="false" outlineLevel="0" collapsed="false">
      <c r="A1214" s="15" t="s">
        <v>917</v>
      </c>
      <c r="B1214" s="15" t="s">
        <v>395</v>
      </c>
      <c r="C1214" s="15" t="s">
        <v>1700</v>
      </c>
      <c r="D1214" s="15" t="str">
        <f aca="false">IF(ISNUMBER(MATCH(B1214,Pages!$B$2:$B$98,0)),"Yes","Check")</f>
        <v>Yes</v>
      </c>
    </row>
    <row r="1215" customFormat="false" ht="15" hidden="false" customHeight="false" outlineLevel="0" collapsed="false">
      <c r="A1215" s="15" t="s">
        <v>917</v>
      </c>
      <c r="B1215" s="15" t="s">
        <v>792</v>
      </c>
      <c r="C1215" s="15" t="s">
        <v>1626</v>
      </c>
      <c r="D1215" s="15" t="str">
        <f aca="false">IF(ISNUMBER(MATCH(B1215,Pages!$B$2:$B$98,0)),"Yes","Check")</f>
        <v>Yes</v>
      </c>
    </row>
    <row r="1216" customFormat="false" ht="15" hidden="false" customHeight="false" outlineLevel="0" collapsed="false">
      <c r="A1216" s="15" t="s">
        <v>917</v>
      </c>
      <c r="B1216" s="15" t="s">
        <v>116</v>
      </c>
      <c r="C1216" s="15" t="s">
        <v>1483</v>
      </c>
      <c r="D1216" s="15" t="str">
        <f aca="false">IF(ISNUMBER(MATCH(B1216,Pages!$B$2:$B$98,0)),"Yes","Check")</f>
        <v>Yes</v>
      </c>
    </row>
    <row r="1217" customFormat="false" ht="15" hidden="false" customHeight="false" outlineLevel="0" collapsed="false">
      <c r="A1217" s="15" t="s">
        <v>926</v>
      </c>
      <c r="B1217" s="15" t="s">
        <v>183</v>
      </c>
      <c r="C1217" s="15" t="s">
        <v>1641</v>
      </c>
      <c r="D1217" s="15" t="str">
        <f aca="false">IF(ISNUMBER(MATCH(B1217,Pages!$B$2:$B$98,0)),"Yes","Check")</f>
        <v>Yes</v>
      </c>
    </row>
    <row r="1218" customFormat="false" ht="15" hidden="false" customHeight="false" outlineLevel="0" collapsed="false">
      <c r="A1218" s="15" t="s">
        <v>926</v>
      </c>
      <c r="B1218" s="15" t="s">
        <v>477</v>
      </c>
      <c r="C1218" s="15" t="s">
        <v>1873</v>
      </c>
      <c r="D1218" s="15" t="str">
        <f aca="false">IF(ISNUMBER(MATCH(B1218,Pages!$B$2:$B$98,0)),"Yes","Check")</f>
        <v>Yes</v>
      </c>
    </row>
    <row r="1219" customFormat="false" ht="15" hidden="false" customHeight="false" outlineLevel="0" collapsed="false">
      <c r="A1219" s="15" t="s">
        <v>926</v>
      </c>
      <c r="B1219" s="15" t="s">
        <v>819</v>
      </c>
      <c r="C1219" s="15" t="s">
        <v>1737</v>
      </c>
      <c r="D1219" s="15" t="str">
        <f aca="false">IF(ISNUMBER(MATCH(B1219,Pages!$B$2:$B$98,0)),"Yes","Check")</f>
        <v>Yes</v>
      </c>
    </row>
    <row r="1220" customFormat="false" ht="15" hidden="false" customHeight="false" outlineLevel="0" collapsed="false">
      <c r="A1220" s="15" t="s">
        <v>926</v>
      </c>
      <c r="B1220" s="15" t="s">
        <v>775</v>
      </c>
      <c r="C1220" s="15" t="s">
        <v>1673</v>
      </c>
      <c r="D1220" s="15" t="str">
        <f aca="false">IF(ISNUMBER(MATCH(B1220,Pages!$B$2:$B$98,0)),"Yes","Check")</f>
        <v>Yes</v>
      </c>
    </row>
    <row r="1221" customFormat="false" ht="15" hidden="false" customHeight="false" outlineLevel="0" collapsed="false">
      <c r="A1221" s="15" t="s">
        <v>926</v>
      </c>
      <c r="B1221" s="15" t="s">
        <v>486</v>
      </c>
      <c r="C1221" s="15" t="s">
        <v>1736</v>
      </c>
      <c r="D1221" s="15" t="str">
        <f aca="false">IF(ISNUMBER(MATCH(B1221,Pages!$B$2:$B$98,0)),"Yes","Check")</f>
        <v>Yes</v>
      </c>
    </row>
    <row r="1222" customFormat="false" ht="15" hidden="false" customHeight="false" outlineLevel="0" collapsed="false">
      <c r="A1222" s="15" t="s">
        <v>926</v>
      </c>
      <c r="B1222" s="15" t="s">
        <v>495</v>
      </c>
      <c r="C1222" s="15" t="s">
        <v>1685</v>
      </c>
      <c r="D1222" s="15" t="str">
        <f aca="false">IF(ISNUMBER(MATCH(B1222,Pages!$B$2:$B$98,0)),"Yes","Check")</f>
        <v>Yes</v>
      </c>
    </row>
    <row r="1223" customFormat="false" ht="15" hidden="false" customHeight="false" outlineLevel="0" collapsed="false">
      <c r="A1223" s="15" t="s">
        <v>926</v>
      </c>
      <c r="B1223" s="15" t="s">
        <v>125</v>
      </c>
      <c r="C1223" s="15" t="s">
        <v>1021</v>
      </c>
      <c r="D1223" s="15" t="str">
        <f aca="false">IF(ISNUMBER(MATCH(B1223,Pages!$B$2:$B$98,0)),"Yes","Check")</f>
        <v>Yes</v>
      </c>
    </row>
    <row r="1224" customFormat="false" ht="15" hidden="false" customHeight="false" outlineLevel="0" collapsed="false">
      <c r="A1224" s="15" t="s">
        <v>926</v>
      </c>
      <c r="B1224" s="15" t="s">
        <v>116</v>
      </c>
      <c r="C1224" s="15" t="s">
        <v>1605</v>
      </c>
      <c r="D1224" s="15" t="str">
        <f aca="false">IF(ISNUMBER(MATCH(B1224,Pages!$B$2:$B$98,0)),"Yes","Check")</f>
        <v>Yes</v>
      </c>
    </row>
    <row r="1225" customFormat="false" ht="15" hidden="false" customHeight="false" outlineLevel="0" collapsed="false">
      <c r="A1225" s="15" t="s">
        <v>926</v>
      </c>
      <c r="B1225" s="15" t="s">
        <v>125</v>
      </c>
      <c r="C1225" s="15" t="s">
        <v>1606</v>
      </c>
      <c r="D1225" s="15" t="str">
        <f aca="false">IF(ISNUMBER(MATCH(B1225,Pages!$B$2:$B$98,0)),"Yes","Check")</f>
        <v>Yes</v>
      </c>
    </row>
    <row r="1226" customFormat="false" ht="15" hidden="false" customHeight="false" outlineLevel="0" collapsed="false">
      <c r="A1226" s="15" t="s">
        <v>926</v>
      </c>
      <c r="B1226" s="15" t="s">
        <v>477</v>
      </c>
      <c r="C1226" s="15" t="s">
        <v>1738</v>
      </c>
      <c r="D1226" s="15" t="str">
        <f aca="false">IF(ISNUMBER(MATCH(B1226,Pages!$B$2:$B$98,0)),"Yes","Check")</f>
        <v>Yes</v>
      </c>
    </row>
    <row r="1227" customFormat="false" ht="15" hidden="false" customHeight="false" outlineLevel="0" collapsed="false">
      <c r="A1227" s="15" t="s">
        <v>926</v>
      </c>
      <c r="B1227" s="15" t="s">
        <v>486</v>
      </c>
      <c r="C1227" s="15" t="s">
        <v>1890</v>
      </c>
      <c r="D1227" s="15" t="str">
        <f aca="false">IF(ISNUMBER(MATCH(B1227,Pages!$B$2:$B$98,0)),"Yes","Check")</f>
        <v>Yes</v>
      </c>
    </row>
    <row r="1228" customFormat="false" ht="15" hidden="false" customHeight="false" outlineLevel="0" collapsed="false">
      <c r="A1228" s="15" t="s">
        <v>926</v>
      </c>
      <c r="B1228" s="15" t="s">
        <v>495</v>
      </c>
      <c r="C1228" s="15" t="s">
        <v>1688</v>
      </c>
      <c r="D1228" s="15" t="str">
        <f aca="false">IF(ISNUMBER(MATCH(B1228,Pages!$B$2:$B$98,0)),"Yes","Check")</f>
        <v>Yes</v>
      </c>
    </row>
    <row r="1229" customFormat="false" ht="15" hidden="false" customHeight="false" outlineLevel="0" collapsed="false">
      <c r="A1229" s="15" t="s">
        <v>926</v>
      </c>
      <c r="B1229" s="15" t="s">
        <v>775</v>
      </c>
      <c r="C1229" s="15" t="s">
        <v>1677</v>
      </c>
      <c r="D1229" s="15" t="str">
        <f aca="false">IF(ISNUMBER(MATCH(B1229,Pages!$B$2:$B$98,0)),"Yes","Check")</f>
        <v>Yes</v>
      </c>
    </row>
    <row r="1230" customFormat="false" ht="15" hidden="false" customHeight="false" outlineLevel="0" collapsed="false">
      <c r="A1230" s="15" t="s">
        <v>926</v>
      </c>
      <c r="B1230" s="15" t="s">
        <v>116</v>
      </c>
      <c r="C1230" s="15" t="s">
        <v>1483</v>
      </c>
      <c r="D1230" s="15" t="str">
        <f aca="false">IF(ISNUMBER(MATCH(B1230,Pages!$B$2:$B$98,0)),"Yes","Check")</f>
        <v>Yes</v>
      </c>
    </row>
    <row r="1231" customFormat="false" ht="15" hidden="false" customHeight="false" outlineLevel="0" collapsed="false">
      <c r="A1231" s="15" t="s">
        <v>934</v>
      </c>
      <c r="B1231" s="15" t="s">
        <v>183</v>
      </c>
      <c r="C1231" s="15" t="s">
        <v>1891</v>
      </c>
      <c r="D1231" s="15" t="str">
        <f aca="false">IF(ISNUMBER(MATCH(B1231,Pages!$B$2:$B$98,0)),"Yes","Check")</f>
        <v>Yes</v>
      </c>
    </row>
    <row r="1232" customFormat="false" ht="15" hidden="false" customHeight="false" outlineLevel="0" collapsed="false">
      <c r="A1232" s="15" t="s">
        <v>934</v>
      </c>
      <c r="B1232" s="15" t="s">
        <v>422</v>
      </c>
      <c r="C1232" s="15" t="s">
        <v>1892</v>
      </c>
      <c r="D1232" s="15" t="str">
        <f aca="false">IF(ISNUMBER(MATCH(B1232,Pages!$B$2:$B$98,0)),"Yes","Check")</f>
        <v>Yes</v>
      </c>
    </row>
    <row r="1233" customFormat="false" ht="15" hidden="false" customHeight="false" outlineLevel="0" collapsed="false">
      <c r="A1233" s="15" t="s">
        <v>934</v>
      </c>
      <c r="B1233" s="15" t="s">
        <v>926</v>
      </c>
      <c r="C1233" s="15" t="s">
        <v>1489</v>
      </c>
      <c r="D1233" s="15" t="str">
        <f aca="false">IF(ISNUMBER(MATCH(B1233,Pages!$B$2:$B$98,0)),"Yes","Check")</f>
        <v>Yes</v>
      </c>
    </row>
    <row r="1234" customFormat="false" ht="15" hidden="false" customHeight="false" outlineLevel="0" collapsed="false">
      <c r="A1234" s="15" t="s">
        <v>934</v>
      </c>
      <c r="B1234" s="15" t="s">
        <v>766</v>
      </c>
      <c r="C1234" s="15" t="s">
        <v>1687</v>
      </c>
      <c r="D1234" s="15" t="str">
        <f aca="false">IF(ISNUMBER(MATCH(B1234,Pages!$B$2:$B$98,0)),"Yes","Check")</f>
        <v>Yes</v>
      </c>
    </row>
    <row r="1235" customFormat="false" ht="15" hidden="false" customHeight="false" outlineLevel="0" collapsed="false">
      <c r="A1235" s="15" t="s">
        <v>934</v>
      </c>
      <c r="B1235" s="15" t="s">
        <v>404</v>
      </c>
      <c r="C1235" s="15" t="s">
        <v>1893</v>
      </c>
      <c r="D1235" s="15" t="str">
        <f aca="false">IF(ISNUMBER(MATCH(B1235,Pages!$B$2:$B$98,0)),"Yes","Check")</f>
        <v>Yes</v>
      </c>
    </row>
    <row r="1236" customFormat="false" ht="15" hidden="false" customHeight="false" outlineLevel="0" collapsed="false">
      <c r="A1236" s="15" t="s">
        <v>934</v>
      </c>
      <c r="B1236" s="15" t="s">
        <v>748</v>
      </c>
      <c r="C1236" s="15" t="s">
        <v>1654</v>
      </c>
      <c r="D1236" s="15" t="str">
        <f aca="false">IF(ISNUMBER(MATCH(B1236,Pages!$B$2:$B$98,0)),"Yes","Check")</f>
        <v>Yes</v>
      </c>
    </row>
    <row r="1237" customFormat="false" ht="15" hidden="false" customHeight="false" outlineLevel="0" collapsed="false">
      <c r="A1237" s="15" t="s">
        <v>934</v>
      </c>
      <c r="B1237" s="15" t="s">
        <v>722</v>
      </c>
      <c r="C1237" s="15" t="s">
        <v>1493</v>
      </c>
      <c r="D1237" s="15" t="str">
        <f aca="false">IF(ISNUMBER(MATCH(B1237,Pages!$B$2:$B$98,0)),"Yes","Check")</f>
        <v>Yes</v>
      </c>
    </row>
    <row r="1238" customFormat="false" ht="15" hidden="false" customHeight="false" outlineLevel="0" collapsed="false">
      <c r="A1238" s="15" t="s">
        <v>934</v>
      </c>
      <c r="B1238" s="15" t="s">
        <v>116</v>
      </c>
      <c r="C1238" s="15" t="s">
        <v>1605</v>
      </c>
      <c r="D1238" s="15" t="str">
        <f aca="false">IF(ISNUMBER(MATCH(B1238,Pages!$B$2:$B$98,0)),"Yes","Check")</f>
        <v>Yes</v>
      </c>
    </row>
    <row r="1239" customFormat="false" ht="23.85" hidden="false" customHeight="false" outlineLevel="0" collapsed="false">
      <c r="A1239" s="15" t="s">
        <v>934</v>
      </c>
      <c r="B1239" s="15" t="s">
        <v>183</v>
      </c>
      <c r="C1239" s="15" t="s">
        <v>1791</v>
      </c>
      <c r="D1239" s="15" t="str">
        <f aca="false">IF(ISNUMBER(MATCH(B1239,Pages!$B$2:$B$98,0)),"Yes","Check")</f>
        <v>Yes</v>
      </c>
    </row>
    <row r="1240" customFormat="false" ht="15" hidden="false" customHeight="false" outlineLevel="0" collapsed="false">
      <c r="A1240" s="15" t="s">
        <v>934</v>
      </c>
      <c r="B1240" s="15" t="s">
        <v>404</v>
      </c>
      <c r="C1240" s="15" t="s">
        <v>1894</v>
      </c>
      <c r="D1240" s="15" t="str">
        <f aca="false">IF(ISNUMBER(MATCH(B1240,Pages!$B$2:$B$98,0)),"Yes","Check")</f>
        <v>Yes</v>
      </c>
    </row>
    <row r="1241" customFormat="false" ht="15" hidden="false" customHeight="false" outlineLevel="0" collapsed="false">
      <c r="A1241" s="15" t="s">
        <v>934</v>
      </c>
      <c r="B1241" s="15" t="s">
        <v>422</v>
      </c>
      <c r="C1241" s="15" t="s">
        <v>1722</v>
      </c>
      <c r="D1241" s="15" t="str">
        <f aca="false">IF(ISNUMBER(MATCH(B1241,Pages!$B$2:$B$98,0)),"Yes","Check")</f>
        <v>Yes</v>
      </c>
    </row>
    <row r="1242" customFormat="false" ht="15" hidden="false" customHeight="false" outlineLevel="0" collapsed="false">
      <c r="A1242" s="15" t="s">
        <v>934</v>
      </c>
      <c r="B1242" s="15" t="s">
        <v>748</v>
      </c>
      <c r="C1242" s="15" t="s">
        <v>1616</v>
      </c>
      <c r="D1242" s="15" t="str">
        <f aca="false">IF(ISNUMBER(MATCH(B1242,Pages!$B$2:$B$98,0)),"Yes","Check")</f>
        <v>Yes</v>
      </c>
    </row>
    <row r="1243" customFormat="false" ht="15" hidden="false" customHeight="false" outlineLevel="0" collapsed="false">
      <c r="A1243" s="15" t="s">
        <v>934</v>
      </c>
      <c r="B1243" s="15" t="s">
        <v>116</v>
      </c>
      <c r="C1243" s="15" t="s">
        <v>1483</v>
      </c>
      <c r="D1243" s="15" t="str">
        <f aca="false">IF(ISNUMBER(MATCH(B1243,Pages!$B$2:$B$98,0)),"Yes","Check")</f>
        <v>Yes</v>
      </c>
    </row>
    <row r="1244" customFormat="false" ht="15" hidden="false" customHeight="false" outlineLevel="0" collapsed="false">
      <c r="A1244" s="15" t="s">
        <v>943</v>
      </c>
      <c r="B1244" s="15" t="s">
        <v>837</v>
      </c>
      <c r="C1244" s="15" t="s">
        <v>1619</v>
      </c>
      <c r="D1244" s="15" t="str">
        <f aca="false">IF(ISNUMBER(MATCH(B1244,Pages!$B$2:$B$98,0)),"Yes","Check")</f>
        <v>Yes</v>
      </c>
    </row>
    <row r="1245" customFormat="false" ht="15" hidden="false" customHeight="false" outlineLevel="0" collapsed="false">
      <c r="A1245" s="15" t="s">
        <v>943</v>
      </c>
      <c r="B1245" s="15" t="s">
        <v>450</v>
      </c>
      <c r="C1245" s="15" t="s">
        <v>1793</v>
      </c>
      <c r="D1245" s="15" t="str">
        <f aca="false">IF(ISNUMBER(MATCH(B1245,Pages!$B$2:$B$98,0)),"Yes","Check")</f>
        <v>Yes</v>
      </c>
    </row>
    <row r="1246" customFormat="false" ht="15" hidden="false" customHeight="false" outlineLevel="0" collapsed="false">
      <c r="A1246" s="15" t="s">
        <v>943</v>
      </c>
      <c r="B1246" s="15" t="s">
        <v>775</v>
      </c>
      <c r="C1246" s="15" t="s">
        <v>1491</v>
      </c>
      <c r="D1246" s="15" t="str">
        <f aca="false">IF(ISNUMBER(MATCH(B1246,Pages!$B$2:$B$98,0)),"Yes","Check")</f>
        <v>Yes</v>
      </c>
    </row>
    <row r="1247" customFormat="false" ht="15" hidden="false" customHeight="false" outlineLevel="0" collapsed="false">
      <c r="A1247" s="15" t="s">
        <v>943</v>
      </c>
      <c r="B1247" s="15" t="s">
        <v>531</v>
      </c>
      <c r="C1247" s="15" t="s">
        <v>1895</v>
      </c>
      <c r="D1247" s="15" t="str">
        <f aca="false">IF(ISNUMBER(MATCH(B1247,Pages!$B$2:$B$98,0)),"Yes","Check")</f>
        <v>Yes</v>
      </c>
    </row>
    <row r="1248" customFormat="false" ht="15" hidden="false" customHeight="false" outlineLevel="0" collapsed="false">
      <c r="A1248" s="15" t="s">
        <v>943</v>
      </c>
      <c r="B1248" s="15" t="s">
        <v>125</v>
      </c>
      <c r="C1248" s="15" t="s">
        <v>1749</v>
      </c>
      <c r="D1248" s="15" t="str">
        <f aca="false">IF(ISNUMBER(MATCH(B1248,Pages!$B$2:$B$98,0)),"Yes","Check")</f>
        <v>Yes</v>
      </c>
    </row>
    <row r="1249" customFormat="false" ht="15" hidden="false" customHeight="false" outlineLevel="0" collapsed="false">
      <c r="A1249" s="15" t="s">
        <v>943</v>
      </c>
      <c r="B1249" s="15" t="s">
        <v>183</v>
      </c>
      <c r="C1249" s="15" t="s">
        <v>1487</v>
      </c>
      <c r="D1249" s="15" t="str">
        <f aca="false">IF(ISNUMBER(MATCH(B1249,Pages!$B$2:$B$98,0)),"Yes","Check")</f>
        <v>Yes</v>
      </c>
    </row>
    <row r="1250" customFormat="false" ht="15" hidden="false" customHeight="false" outlineLevel="0" collapsed="false">
      <c r="A1250" s="15" t="s">
        <v>943</v>
      </c>
      <c r="B1250" s="15" t="s">
        <v>116</v>
      </c>
      <c r="C1250" s="15" t="s">
        <v>1605</v>
      </c>
      <c r="D1250" s="15" t="str">
        <f aca="false">IF(ISNUMBER(MATCH(B1250,Pages!$B$2:$B$98,0)),"Yes","Check")</f>
        <v>Yes</v>
      </c>
    </row>
    <row r="1251" customFormat="false" ht="15" hidden="false" customHeight="false" outlineLevel="0" collapsed="false">
      <c r="A1251" s="15" t="s">
        <v>943</v>
      </c>
      <c r="B1251" s="15" t="s">
        <v>125</v>
      </c>
      <c r="C1251" s="15" t="s">
        <v>1606</v>
      </c>
      <c r="D1251" s="15" t="str">
        <f aca="false">IF(ISNUMBER(MATCH(B1251,Pages!$B$2:$B$98,0)),"Yes","Check")</f>
        <v>Yes</v>
      </c>
    </row>
    <row r="1252" customFormat="false" ht="15" hidden="false" customHeight="false" outlineLevel="0" collapsed="false">
      <c r="A1252" s="15" t="s">
        <v>943</v>
      </c>
      <c r="B1252" s="15" t="s">
        <v>450</v>
      </c>
      <c r="C1252" s="15" t="s">
        <v>1630</v>
      </c>
      <c r="D1252" s="15" t="str">
        <f aca="false">IF(ISNUMBER(MATCH(B1252,Pages!$B$2:$B$98,0)),"Yes","Check")</f>
        <v>Yes</v>
      </c>
    </row>
    <row r="1253" customFormat="false" ht="23.85" hidden="false" customHeight="false" outlineLevel="0" collapsed="false">
      <c r="A1253" s="15" t="s">
        <v>943</v>
      </c>
      <c r="B1253" s="15" t="s">
        <v>837</v>
      </c>
      <c r="C1253" s="15" t="s">
        <v>1696</v>
      </c>
      <c r="D1253" s="15" t="str">
        <f aca="false">IF(ISNUMBER(MATCH(B1253,Pages!$B$2:$B$98,0)),"Yes","Check")</f>
        <v>Yes</v>
      </c>
    </row>
    <row r="1254" customFormat="false" ht="15" hidden="false" customHeight="false" outlineLevel="0" collapsed="false">
      <c r="A1254" s="15" t="s">
        <v>943</v>
      </c>
      <c r="B1254" s="15" t="s">
        <v>116</v>
      </c>
      <c r="C1254" s="15" t="s">
        <v>1483</v>
      </c>
      <c r="D1254" s="15" t="str">
        <f aca="false">IF(ISNUMBER(MATCH(B1254,Pages!$B$2:$B$98,0)),"Yes","Check")</f>
        <v>Yes</v>
      </c>
    </row>
    <row r="1255" customFormat="false" ht="15" hidden="false" customHeight="false" outlineLevel="0" collapsed="false">
      <c r="A1255" s="15" t="s">
        <v>952</v>
      </c>
      <c r="B1255" s="15" t="s">
        <v>125</v>
      </c>
      <c r="C1255" s="15" t="s">
        <v>1749</v>
      </c>
      <c r="D1255" s="15" t="str">
        <f aca="false">IF(ISNUMBER(MATCH(B1255,Pages!$B$2:$B$98,0)),"Yes","Check")</f>
        <v>Yes</v>
      </c>
    </row>
    <row r="1256" customFormat="false" ht="15" hidden="false" customHeight="false" outlineLevel="0" collapsed="false">
      <c r="A1256" s="15" t="s">
        <v>952</v>
      </c>
      <c r="B1256" s="15" t="s">
        <v>206</v>
      </c>
      <c r="C1256" s="15" t="s">
        <v>1896</v>
      </c>
      <c r="D1256" s="15" t="str">
        <f aca="false">IF(ISNUMBER(MATCH(B1256,Pages!$B$2:$B$98,0)),"Yes","Check")</f>
        <v>Yes</v>
      </c>
    </row>
    <row r="1257" customFormat="false" ht="15" hidden="false" customHeight="false" outlineLevel="0" collapsed="false">
      <c r="A1257" s="15" t="s">
        <v>952</v>
      </c>
      <c r="B1257" s="15" t="s">
        <v>679</v>
      </c>
      <c r="C1257" s="15" t="s">
        <v>1652</v>
      </c>
      <c r="D1257" s="15" t="str">
        <f aca="false">IF(ISNUMBER(MATCH(B1257,Pages!$B$2:$B$98,0)),"Yes","Check")</f>
        <v>Yes</v>
      </c>
    </row>
    <row r="1258" customFormat="false" ht="15" hidden="false" customHeight="false" outlineLevel="0" collapsed="false">
      <c r="A1258" s="15" t="s">
        <v>952</v>
      </c>
      <c r="B1258" s="15" t="s">
        <v>977</v>
      </c>
      <c r="C1258" s="15" t="s">
        <v>1719</v>
      </c>
      <c r="D1258" s="15" t="str">
        <f aca="false">IF(ISNUMBER(MATCH(B1258,Pages!$B$2:$B$98,0)),"Yes","Check")</f>
        <v>Yes</v>
      </c>
    </row>
    <row r="1259" customFormat="false" ht="15" hidden="false" customHeight="false" outlineLevel="0" collapsed="false">
      <c r="A1259" s="15" t="s">
        <v>952</v>
      </c>
      <c r="B1259" s="15" t="s">
        <v>450</v>
      </c>
      <c r="C1259" s="15" t="s">
        <v>1793</v>
      </c>
      <c r="D1259" s="15" t="str">
        <f aca="false">IF(ISNUMBER(MATCH(B1259,Pages!$B$2:$B$98,0)),"Yes","Check")</f>
        <v>Yes</v>
      </c>
    </row>
    <row r="1260" customFormat="false" ht="15" hidden="false" customHeight="false" outlineLevel="0" collapsed="false">
      <c r="A1260" s="15" t="s">
        <v>952</v>
      </c>
      <c r="B1260" s="15" t="s">
        <v>585</v>
      </c>
      <c r="C1260" s="15" t="s">
        <v>1768</v>
      </c>
      <c r="D1260" s="15" t="str">
        <f aca="false">IF(ISNUMBER(MATCH(B1260,Pages!$B$2:$B$98,0)),"Yes","Check")</f>
        <v>Yes</v>
      </c>
    </row>
    <row r="1261" customFormat="false" ht="15" hidden="false" customHeight="false" outlineLevel="0" collapsed="false">
      <c r="A1261" s="15" t="s">
        <v>952</v>
      </c>
      <c r="B1261" s="15" t="s">
        <v>748</v>
      </c>
      <c r="C1261" s="15" t="s">
        <v>1654</v>
      </c>
      <c r="D1261" s="15" t="str">
        <f aca="false">IF(ISNUMBER(MATCH(B1261,Pages!$B$2:$B$98,0)),"Yes","Check")</f>
        <v>Yes</v>
      </c>
    </row>
    <row r="1262" customFormat="false" ht="15" hidden="false" customHeight="false" outlineLevel="0" collapsed="false">
      <c r="A1262" s="15" t="s">
        <v>952</v>
      </c>
      <c r="B1262" s="15" t="s">
        <v>183</v>
      </c>
      <c r="C1262" s="15" t="s">
        <v>1506</v>
      </c>
      <c r="D1262" s="15" t="str">
        <f aca="false">IF(ISNUMBER(MATCH(B1262,Pages!$B$2:$B$98,0)),"Yes","Check")</f>
        <v>Yes</v>
      </c>
    </row>
    <row r="1263" customFormat="false" ht="15" hidden="false" customHeight="false" outlineLevel="0" collapsed="false">
      <c r="A1263" s="15" t="s">
        <v>952</v>
      </c>
      <c r="B1263" s="15" t="s">
        <v>116</v>
      </c>
      <c r="C1263" s="15" t="s">
        <v>1605</v>
      </c>
      <c r="D1263" s="15" t="str">
        <f aca="false">IF(ISNUMBER(MATCH(B1263,Pages!$B$2:$B$98,0)),"Yes","Check")</f>
        <v>Yes</v>
      </c>
    </row>
    <row r="1264" customFormat="false" ht="15" hidden="false" customHeight="false" outlineLevel="0" collapsed="false">
      <c r="A1264" s="15" t="s">
        <v>952</v>
      </c>
      <c r="B1264" s="15" t="s">
        <v>125</v>
      </c>
      <c r="C1264" s="15" t="s">
        <v>1606</v>
      </c>
      <c r="D1264" s="15" t="str">
        <f aca="false">IF(ISNUMBER(MATCH(B1264,Pages!$B$2:$B$98,0)),"Yes","Check")</f>
        <v>Yes</v>
      </c>
    </row>
    <row r="1265" customFormat="false" ht="23.85" hidden="false" customHeight="false" outlineLevel="0" collapsed="false">
      <c r="A1265" s="15" t="s">
        <v>952</v>
      </c>
      <c r="B1265" s="15" t="s">
        <v>206</v>
      </c>
      <c r="C1265" s="15" t="s">
        <v>1819</v>
      </c>
      <c r="D1265" s="15" t="str">
        <f aca="false">IF(ISNUMBER(MATCH(B1265,Pages!$B$2:$B$98,0)),"Yes","Check")</f>
        <v>Yes</v>
      </c>
    </row>
    <row r="1266" customFormat="false" ht="15" hidden="false" customHeight="false" outlineLevel="0" collapsed="false">
      <c r="A1266" s="15" t="s">
        <v>952</v>
      </c>
      <c r="B1266" s="15" t="s">
        <v>450</v>
      </c>
      <c r="C1266" s="15" t="s">
        <v>1630</v>
      </c>
      <c r="D1266" s="15" t="str">
        <f aca="false">IF(ISNUMBER(MATCH(B1266,Pages!$B$2:$B$98,0)),"Yes","Check")</f>
        <v>Yes</v>
      </c>
    </row>
    <row r="1267" customFormat="false" ht="15" hidden="false" customHeight="false" outlineLevel="0" collapsed="false">
      <c r="A1267" s="15" t="s">
        <v>952</v>
      </c>
      <c r="B1267" s="15" t="s">
        <v>748</v>
      </c>
      <c r="C1267" s="15" t="s">
        <v>1616</v>
      </c>
      <c r="D1267" s="15" t="str">
        <f aca="false">IF(ISNUMBER(MATCH(B1267,Pages!$B$2:$B$98,0)),"Yes","Check")</f>
        <v>Yes</v>
      </c>
    </row>
    <row r="1268" customFormat="false" ht="15" hidden="false" customHeight="false" outlineLevel="0" collapsed="false">
      <c r="A1268" s="15" t="s">
        <v>952</v>
      </c>
      <c r="B1268" s="15" t="s">
        <v>116</v>
      </c>
      <c r="C1268" s="15" t="s">
        <v>1483</v>
      </c>
      <c r="D1268" s="15" t="str">
        <f aca="false">IF(ISNUMBER(MATCH(B1268,Pages!$B$2:$B$98,0)),"Yes","Check")</f>
        <v>Yes</v>
      </c>
    </row>
    <row r="1269" customFormat="false" ht="15" hidden="false" customHeight="false" outlineLevel="0" collapsed="false">
      <c r="A1269" s="15" t="s">
        <v>138</v>
      </c>
      <c r="B1269" s="15" t="s">
        <v>977</v>
      </c>
      <c r="C1269" s="15" t="s">
        <v>1897</v>
      </c>
      <c r="D1269" s="15" t="str">
        <f aca="false">IF(ISNUMBER(MATCH(B1269,Pages!$B$2:$B$98,0)),"Yes","Check")</f>
        <v>Yes</v>
      </c>
    </row>
    <row r="1270" customFormat="false" ht="15" hidden="false" customHeight="false" outlineLevel="0" collapsed="false">
      <c r="A1270" s="15" t="s">
        <v>138</v>
      </c>
      <c r="B1270" s="15" t="s">
        <v>413</v>
      </c>
      <c r="C1270" s="15" t="s">
        <v>1663</v>
      </c>
      <c r="D1270" s="15" t="str">
        <f aca="false">IF(ISNUMBER(MATCH(B1270,Pages!$B$2:$B$98,0)),"Yes","Check")</f>
        <v>Yes</v>
      </c>
    </row>
    <row r="1271" customFormat="false" ht="15" hidden="false" customHeight="false" outlineLevel="0" collapsed="false">
      <c r="A1271" s="15" t="s">
        <v>138</v>
      </c>
      <c r="B1271" s="15" t="s">
        <v>459</v>
      </c>
      <c r="C1271" s="15" t="s">
        <v>1898</v>
      </c>
      <c r="D1271" s="15" t="str">
        <f aca="false">IF(ISNUMBER(MATCH(B1271,Pages!$B$2:$B$98,0)),"Yes","Check")</f>
        <v>Yes</v>
      </c>
    </row>
    <row r="1272" customFormat="false" ht="15" hidden="false" customHeight="false" outlineLevel="0" collapsed="false">
      <c r="A1272" s="15" t="s">
        <v>138</v>
      </c>
      <c r="B1272" s="15" t="s">
        <v>748</v>
      </c>
      <c r="C1272" s="15" t="s">
        <v>1490</v>
      </c>
      <c r="D1272" s="15" t="str">
        <f aca="false">IF(ISNUMBER(MATCH(B1272,Pages!$B$2:$B$98,0)),"Yes","Check")</f>
        <v>Yes</v>
      </c>
    </row>
    <row r="1273" customFormat="false" ht="15" hidden="false" customHeight="false" outlineLevel="0" collapsed="false">
      <c r="A1273" s="15" t="s">
        <v>138</v>
      </c>
      <c r="B1273" s="15" t="s">
        <v>116</v>
      </c>
      <c r="C1273" s="15" t="s">
        <v>1899</v>
      </c>
      <c r="D1273" s="15" t="str">
        <f aca="false">IF(ISNUMBER(MATCH(B1273,Pages!$B$2:$B$98,0)),"Yes","Check")</f>
        <v>Yes</v>
      </c>
    </row>
    <row r="1274" customFormat="false" ht="15" hidden="false" customHeight="false" outlineLevel="0" collapsed="false">
      <c r="A1274" s="15" t="s">
        <v>138</v>
      </c>
      <c r="B1274" s="15" t="s">
        <v>413</v>
      </c>
      <c r="C1274" s="15" t="s">
        <v>1900</v>
      </c>
      <c r="D1274" s="15" t="str">
        <f aca="false">IF(ISNUMBER(MATCH(B1274,Pages!$B$2:$B$98,0)),"Yes","Check")</f>
        <v>Yes</v>
      </c>
    </row>
    <row r="1275" customFormat="false" ht="15" hidden="false" customHeight="false" outlineLevel="0" collapsed="false">
      <c r="A1275" s="15" t="s">
        <v>138</v>
      </c>
      <c r="B1275" s="15" t="s">
        <v>431</v>
      </c>
      <c r="C1275" s="15" t="s">
        <v>1505</v>
      </c>
      <c r="D1275" s="15" t="str">
        <f aca="false">IF(ISNUMBER(MATCH(B1275,Pages!$B$2:$B$98,0)),"Yes","Check")</f>
        <v>Yes</v>
      </c>
    </row>
    <row r="1276" customFormat="false" ht="15" hidden="false" customHeight="false" outlineLevel="0" collapsed="false">
      <c r="A1276" s="15" t="s">
        <v>138</v>
      </c>
      <c r="B1276" s="15" t="s">
        <v>116</v>
      </c>
      <c r="C1276" s="15" t="s">
        <v>1483</v>
      </c>
      <c r="D1276" s="15" t="str">
        <f aca="false">IF(ISNUMBER(MATCH(B1276,Pages!$B$2:$B$98,0)),"Yes","Check")</f>
        <v>Yes</v>
      </c>
    </row>
    <row r="1277" customFormat="false" ht="15" hidden="false" customHeight="false" outlineLevel="0" collapsed="false">
      <c r="A1277" s="15" t="s">
        <v>967</v>
      </c>
      <c r="B1277" s="15" t="s">
        <v>377</v>
      </c>
      <c r="C1277" s="15" t="s">
        <v>1830</v>
      </c>
      <c r="D1277" s="15" t="str">
        <f aca="false">IF(ISNUMBER(MATCH(B1277,Pages!$B$2:$B$98,0)),"Yes","Check")</f>
        <v>Yes</v>
      </c>
    </row>
    <row r="1278" customFormat="false" ht="15" hidden="false" customHeight="false" outlineLevel="0" collapsed="false">
      <c r="A1278" s="15" t="s">
        <v>967</v>
      </c>
      <c r="B1278" s="15" t="s">
        <v>183</v>
      </c>
      <c r="C1278" s="15" t="s">
        <v>1487</v>
      </c>
      <c r="D1278" s="15" t="str">
        <f aca="false">IF(ISNUMBER(MATCH(B1278,Pages!$B$2:$B$98,0)),"Yes","Check")</f>
        <v>Yes</v>
      </c>
    </row>
    <row r="1279" customFormat="false" ht="15" hidden="false" customHeight="false" outlineLevel="0" collapsed="false">
      <c r="A1279" s="15" t="s">
        <v>967</v>
      </c>
      <c r="B1279" s="15" t="s">
        <v>775</v>
      </c>
      <c r="C1279" s="15" t="s">
        <v>1673</v>
      </c>
      <c r="D1279" s="15" t="str">
        <f aca="false">IF(ISNUMBER(MATCH(B1279,Pages!$B$2:$B$98,0)),"Yes","Check")</f>
        <v>Yes</v>
      </c>
    </row>
    <row r="1280" customFormat="false" ht="15" hidden="false" customHeight="false" outlineLevel="0" collapsed="false">
      <c r="A1280" s="15" t="s">
        <v>967</v>
      </c>
      <c r="B1280" s="15" t="s">
        <v>881</v>
      </c>
      <c r="C1280" s="15" t="s">
        <v>1503</v>
      </c>
      <c r="D1280" s="15" t="str">
        <f aca="false">IF(ISNUMBER(MATCH(B1280,Pages!$B$2:$B$98,0)),"Yes","Check")</f>
        <v>Yes</v>
      </c>
    </row>
    <row r="1281" customFormat="false" ht="15" hidden="false" customHeight="false" outlineLevel="0" collapsed="false">
      <c r="A1281" s="15" t="s">
        <v>967</v>
      </c>
      <c r="B1281" s="15" t="s">
        <v>662</v>
      </c>
      <c r="C1281" s="15" t="s">
        <v>1714</v>
      </c>
      <c r="D1281" s="15" t="str">
        <f aca="false">IF(ISNUMBER(MATCH(B1281,Pages!$B$2:$B$98,0)),"Yes","Check")</f>
        <v>Yes</v>
      </c>
    </row>
    <row r="1282" customFormat="false" ht="15" hidden="false" customHeight="false" outlineLevel="0" collapsed="false">
      <c r="A1282" s="15" t="s">
        <v>967</v>
      </c>
      <c r="B1282" s="15" t="s">
        <v>977</v>
      </c>
      <c r="C1282" s="15" t="s">
        <v>1719</v>
      </c>
      <c r="D1282" s="15" t="str">
        <f aca="false">IF(ISNUMBER(MATCH(B1282,Pages!$B$2:$B$98,0)),"Yes","Check")</f>
        <v>Yes</v>
      </c>
    </row>
    <row r="1283" customFormat="false" ht="15" hidden="false" customHeight="false" outlineLevel="0" collapsed="false">
      <c r="A1283" s="15" t="s">
        <v>967</v>
      </c>
      <c r="B1283" s="15" t="s">
        <v>116</v>
      </c>
      <c r="C1283" s="15" t="s">
        <v>1605</v>
      </c>
      <c r="D1283" s="15" t="str">
        <f aca="false">IF(ISNUMBER(MATCH(B1283,Pages!$B$2:$B$98,0)),"Yes","Check")</f>
        <v>Yes</v>
      </c>
    </row>
    <row r="1284" customFormat="false" ht="23.85" hidden="false" customHeight="false" outlineLevel="0" collapsed="false">
      <c r="A1284" s="15" t="s">
        <v>967</v>
      </c>
      <c r="B1284" s="15" t="s">
        <v>377</v>
      </c>
      <c r="C1284" s="15" t="s">
        <v>1729</v>
      </c>
      <c r="D1284" s="15" t="str">
        <f aca="false">IF(ISNUMBER(MATCH(B1284,Pages!$B$2:$B$98,0)),"Yes","Check")</f>
        <v>Yes</v>
      </c>
    </row>
    <row r="1285" customFormat="false" ht="23.85" hidden="false" customHeight="false" outlineLevel="0" collapsed="false">
      <c r="A1285" s="15" t="s">
        <v>967</v>
      </c>
      <c r="B1285" s="15" t="s">
        <v>662</v>
      </c>
      <c r="C1285" s="15" t="s">
        <v>1615</v>
      </c>
      <c r="D1285" s="15" t="str">
        <f aca="false">IF(ISNUMBER(MATCH(B1285,Pages!$B$2:$B$98,0)),"Yes","Check")</f>
        <v>Yes</v>
      </c>
    </row>
    <row r="1286" customFormat="false" ht="15" hidden="false" customHeight="false" outlineLevel="0" collapsed="false">
      <c r="A1286" s="15" t="s">
        <v>967</v>
      </c>
      <c r="B1286" s="15" t="s">
        <v>775</v>
      </c>
      <c r="C1286" s="15" t="s">
        <v>1677</v>
      </c>
      <c r="D1286" s="15" t="str">
        <f aca="false">IF(ISNUMBER(MATCH(B1286,Pages!$B$2:$B$98,0)),"Yes","Check")</f>
        <v>Yes</v>
      </c>
    </row>
    <row r="1287" customFormat="false" ht="15" hidden="false" customHeight="false" outlineLevel="0" collapsed="false">
      <c r="A1287" s="15" t="s">
        <v>967</v>
      </c>
      <c r="B1287" s="15" t="s">
        <v>881</v>
      </c>
      <c r="C1287" s="15" t="s">
        <v>1690</v>
      </c>
      <c r="D1287" s="15" t="str">
        <f aca="false">IF(ISNUMBER(MATCH(B1287,Pages!$B$2:$B$98,0)),"Yes","Check")</f>
        <v>Yes</v>
      </c>
    </row>
    <row r="1288" customFormat="false" ht="15" hidden="false" customHeight="false" outlineLevel="0" collapsed="false">
      <c r="A1288" s="15" t="s">
        <v>967</v>
      </c>
      <c r="B1288" s="15" t="s">
        <v>740</v>
      </c>
      <c r="C1288" s="15" t="s">
        <v>1662</v>
      </c>
      <c r="D1288" s="15" t="str">
        <f aca="false">IF(ISNUMBER(MATCH(B1288,Pages!$B$2:$B$98,0)),"Yes","Check")</f>
        <v>Yes</v>
      </c>
    </row>
    <row r="1289" customFormat="false" ht="15" hidden="false" customHeight="false" outlineLevel="0" collapsed="false">
      <c r="A1289" s="15" t="s">
        <v>967</v>
      </c>
      <c r="B1289" s="15" t="s">
        <v>116</v>
      </c>
      <c r="C1289" s="15" t="s">
        <v>1483</v>
      </c>
      <c r="D1289" s="15" t="str">
        <f aca="false">IF(ISNUMBER(MATCH(B1289,Pages!$B$2:$B$98,0)),"Yes","Check")</f>
        <v>Yes</v>
      </c>
    </row>
    <row r="1290" customFormat="false" ht="15" hidden="false" customHeight="false" outlineLevel="0" collapsed="false">
      <c r="A1290" s="15" t="s">
        <v>977</v>
      </c>
      <c r="B1290" s="15" t="s">
        <v>183</v>
      </c>
      <c r="C1290" s="15" t="s">
        <v>1487</v>
      </c>
      <c r="D1290" s="15" t="str">
        <f aca="false">IF(ISNUMBER(MATCH(B1290,Pages!$B$2:$B$98,0)),"Yes","Check")</f>
        <v>Yes</v>
      </c>
    </row>
    <row r="1291" customFormat="false" ht="15" hidden="false" customHeight="false" outlineLevel="0" collapsed="false">
      <c r="A1291" s="15" t="s">
        <v>977</v>
      </c>
      <c r="B1291" s="15" t="s">
        <v>967</v>
      </c>
      <c r="C1291" s="15" t="s">
        <v>1706</v>
      </c>
      <c r="D1291" s="15" t="str">
        <f aca="false">IF(ISNUMBER(MATCH(B1291,Pages!$B$2:$B$98,0)),"Yes","Check")</f>
        <v>Yes</v>
      </c>
    </row>
    <row r="1292" customFormat="false" ht="15" hidden="false" customHeight="false" outlineLevel="0" collapsed="false">
      <c r="A1292" s="15" t="s">
        <v>977</v>
      </c>
      <c r="B1292" s="15" t="s">
        <v>522</v>
      </c>
      <c r="C1292" s="15" t="s">
        <v>1718</v>
      </c>
      <c r="D1292" s="15" t="str">
        <f aca="false">IF(ISNUMBER(MATCH(B1292,Pages!$B$2:$B$98,0)),"Yes","Check")</f>
        <v>Yes</v>
      </c>
    </row>
    <row r="1293" customFormat="false" ht="15" hidden="false" customHeight="false" outlineLevel="0" collapsed="false">
      <c r="A1293" s="15" t="s">
        <v>977</v>
      </c>
      <c r="B1293" s="15" t="s">
        <v>740</v>
      </c>
      <c r="C1293" s="15" t="s">
        <v>1709</v>
      </c>
      <c r="D1293" s="15" t="str">
        <f aca="false">IF(ISNUMBER(MATCH(B1293,Pages!$B$2:$B$98,0)),"Yes","Check")</f>
        <v>Yes</v>
      </c>
    </row>
    <row r="1294" customFormat="false" ht="15" hidden="false" customHeight="false" outlineLevel="0" collapsed="false">
      <c r="A1294" s="15" t="s">
        <v>977</v>
      </c>
      <c r="B1294" s="15" t="s">
        <v>450</v>
      </c>
      <c r="C1294" s="15" t="s">
        <v>1492</v>
      </c>
      <c r="D1294" s="15" t="str">
        <f aca="false">IF(ISNUMBER(MATCH(B1294,Pages!$B$2:$B$98,0)),"Yes","Check")</f>
        <v>Yes</v>
      </c>
    </row>
    <row r="1295" customFormat="false" ht="15" hidden="false" customHeight="false" outlineLevel="0" collapsed="false">
      <c r="A1295" s="15" t="s">
        <v>977</v>
      </c>
      <c r="B1295" s="15" t="s">
        <v>116</v>
      </c>
      <c r="C1295" s="15" t="s">
        <v>1605</v>
      </c>
      <c r="D1295" s="15" t="str">
        <f aca="false">IF(ISNUMBER(MATCH(B1295,Pages!$B$2:$B$98,0)),"Yes","Check")</f>
        <v>Yes</v>
      </c>
    </row>
    <row r="1296" customFormat="false" ht="15" hidden="false" customHeight="false" outlineLevel="0" collapsed="false">
      <c r="A1296" s="15" t="s">
        <v>977</v>
      </c>
      <c r="B1296" s="15" t="s">
        <v>450</v>
      </c>
      <c r="C1296" s="15" t="s">
        <v>1630</v>
      </c>
      <c r="D1296" s="15" t="str">
        <f aca="false">IF(ISNUMBER(MATCH(B1296,Pages!$B$2:$B$98,0)),"Yes","Check")</f>
        <v>Yes</v>
      </c>
    </row>
    <row r="1297" customFormat="false" ht="15" hidden="false" customHeight="false" outlineLevel="0" collapsed="false">
      <c r="A1297" s="15" t="s">
        <v>977</v>
      </c>
      <c r="B1297" s="15" t="s">
        <v>740</v>
      </c>
      <c r="C1297" s="15" t="s">
        <v>1662</v>
      </c>
      <c r="D1297" s="15" t="str">
        <f aca="false">IF(ISNUMBER(MATCH(B1297,Pages!$B$2:$B$98,0)),"Yes","Check")</f>
        <v>Yes</v>
      </c>
    </row>
    <row r="1298" customFormat="false" ht="15" hidden="false" customHeight="false" outlineLevel="0" collapsed="false">
      <c r="A1298" s="15" t="s">
        <v>977</v>
      </c>
      <c r="B1298" s="15" t="s">
        <v>967</v>
      </c>
      <c r="C1298" s="15" t="s">
        <v>1716</v>
      </c>
      <c r="D1298" s="15" t="str">
        <f aca="false">IF(ISNUMBER(MATCH(B1298,Pages!$B$2:$B$98,0)),"Yes","Check")</f>
        <v>Yes</v>
      </c>
    </row>
    <row r="1299" customFormat="false" ht="15" hidden="false" customHeight="false" outlineLevel="0" collapsed="false">
      <c r="A1299" s="15" t="s">
        <v>977</v>
      </c>
      <c r="B1299" s="15" t="s">
        <v>116</v>
      </c>
      <c r="C1299" s="15" t="s">
        <v>1483</v>
      </c>
      <c r="D1299" s="15" t="str">
        <f aca="false">IF(ISNUMBER(MATCH(B1299,Pages!$B$2:$B$98,0)),"Yes","Check")</f>
        <v>Yes</v>
      </c>
    </row>
    <row r="1300" customFormat="false" ht="15" hidden="false" customHeight="false" outlineLevel="0" collapsed="false">
      <c r="A1300" s="15" t="s">
        <v>147</v>
      </c>
      <c r="B1300" s="15" t="s">
        <v>775</v>
      </c>
      <c r="C1300" s="15" t="s">
        <v>1901</v>
      </c>
      <c r="D1300" s="15" t="str">
        <f aca="false">IF(ISNUMBER(MATCH(B1300,Pages!$B$2:$B$98,0)),"Yes","Check")</f>
        <v>Yes</v>
      </c>
    </row>
    <row r="1301" customFormat="false" ht="15" hidden="false" customHeight="false" outlineLevel="0" collapsed="false">
      <c r="A1301" s="15" t="s">
        <v>147</v>
      </c>
      <c r="B1301" s="15" t="s">
        <v>477</v>
      </c>
      <c r="C1301" s="15" t="s">
        <v>1902</v>
      </c>
      <c r="D1301" s="15" t="str">
        <f aca="false">IF(ISNUMBER(MATCH(B1301,Pages!$B$2:$B$98,0)),"Yes","Check")</f>
        <v>Yes</v>
      </c>
    </row>
    <row r="1302" customFormat="false" ht="15" hidden="false" customHeight="false" outlineLevel="0" collapsed="false">
      <c r="A1302" s="15" t="s">
        <v>147</v>
      </c>
      <c r="B1302" s="15" t="s">
        <v>495</v>
      </c>
      <c r="C1302" s="15" t="s">
        <v>499</v>
      </c>
      <c r="D1302" s="15" t="str">
        <f aca="false">IF(ISNUMBER(MATCH(B1302,Pages!$B$2:$B$98,0)),"Yes","Check")</f>
        <v>Yes</v>
      </c>
    </row>
    <row r="1303" customFormat="false" ht="15" hidden="false" customHeight="false" outlineLevel="0" collapsed="false">
      <c r="A1303" s="15" t="s">
        <v>147</v>
      </c>
      <c r="B1303" s="15" t="s">
        <v>513</v>
      </c>
      <c r="C1303" s="15" t="s">
        <v>1271</v>
      </c>
      <c r="D1303" s="15" t="str">
        <f aca="false">IF(ISNUMBER(MATCH(B1303,Pages!$B$2:$B$98,0)),"Yes","Check")</f>
        <v>Yes</v>
      </c>
    </row>
    <row r="1304" customFormat="false" ht="15" hidden="false" customHeight="false" outlineLevel="0" collapsed="false">
      <c r="A1304" s="15" t="s">
        <v>147</v>
      </c>
      <c r="B1304" s="15" t="s">
        <v>766</v>
      </c>
      <c r="C1304" s="15" t="s">
        <v>1903</v>
      </c>
      <c r="D1304" s="15" t="str">
        <f aca="false">IF(ISNUMBER(MATCH(B1304,Pages!$B$2:$B$98,0)),"Yes","Check")</f>
        <v>Yes</v>
      </c>
    </row>
    <row r="1305" customFormat="false" ht="15" hidden="false" customHeight="false" outlineLevel="0" collapsed="false">
      <c r="A1305" s="15" t="s">
        <v>147</v>
      </c>
      <c r="B1305" s="15" t="s">
        <v>977</v>
      </c>
      <c r="C1305" s="15" t="s">
        <v>1904</v>
      </c>
      <c r="D1305" s="15" t="str">
        <f aca="false">IF(ISNUMBER(MATCH(B1305,Pages!$B$2:$B$98,0)),"Yes","Check")</f>
        <v>Yes</v>
      </c>
    </row>
    <row r="1306" customFormat="false" ht="15" hidden="false" customHeight="false" outlineLevel="0" collapsed="false">
      <c r="A1306" s="15" t="s">
        <v>147</v>
      </c>
      <c r="B1306" s="15" t="s">
        <v>819</v>
      </c>
      <c r="C1306" s="15" t="s">
        <v>1905</v>
      </c>
      <c r="D1306" s="15" t="str">
        <f aca="false">IF(ISNUMBER(MATCH(B1306,Pages!$B$2:$B$98,0)),"Yes","Check")</f>
        <v>Yes</v>
      </c>
    </row>
    <row r="1307" customFormat="false" ht="15" hidden="false" customHeight="false" outlineLevel="0" collapsed="false">
      <c r="A1307" s="15" t="s">
        <v>147</v>
      </c>
      <c r="B1307" s="15" t="s">
        <v>531</v>
      </c>
      <c r="C1307" s="15" t="s">
        <v>1906</v>
      </c>
      <c r="D1307" s="15" t="str">
        <f aca="false">IF(ISNUMBER(MATCH(B1307,Pages!$B$2:$B$98,0)),"Yes","Check")</f>
        <v>Yes</v>
      </c>
    </row>
    <row r="1308" customFormat="false" ht="15" hidden="false" customHeight="false" outlineLevel="0" collapsed="false">
      <c r="A1308" s="15" t="s">
        <v>147</v>
      </c>
      <c r="B1308" s="15" t="s">
        <v>819</v>
      </c>
      <c r="C1308" s="15" t="s">
        <v>1907</v>
      </c>
      <c r="D1308" s="15" t="str">
        <f aca="false">IF(ISNUMBER(MATCH(B1308,Pages!$B$2:$B$98,0)),"Yes","Check")</f>
        <v>Yes</v>
      </c>
    </row>
    <row r="1309" customFormat="false" ht="15" hidden="false" customHeight="false" outlineLevel="0" collapsed="false">
      <c r="A1309" s="15" t="s">
        <v>147</v>
      </c>
      <c r="B1309" s="15" t="s">
        <v>513</v>
      </c>
      <c r="C1309" s="15" t="s">
        <v>1908</v>
      </c>
      <c r="D1309" s="15" t="str">
        <f aca="false">IF(ISNUMBER(MATCH(B1309,Pages!$B$2:$B$98,0)),"Yes","Check")</f>
        <v>Yes</v>
      </c>
    </row>
    <row r="1310" customFormat="false" ht="15" hidden="false" customHeight="false" outlineLevel="0" collapsed="false">
      <c r="A1310" s="15" t="s">
        <v>147</v>
      </c>
      <c r="B1310" s="15" t="s">
        <v>116</v>
      </c>
      <c r="C1310" s="15" t="s">
        <v>1483</v>
      </c>
      <c r="D1310" s="15" t="str">
        <f aca="false">IF(ISNUMBER(MATCH(B1310,Pages!$B$2:$B$98,0)),"Yes","Check")</f>
        <v>Yes</v>
      </c>
    </row>
  </sheetData>
  <autoFilter ref="A1:D1310"/>
  <conditionalFormatting sqref="D2:D1310">
    <cfRule type="cellIs" priority="2" operator="equal" aboveAverage="0" equalAverage="0" bottom="0" percent="0" rank="0" text="" dxfId="6">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40"/>
    <col collapsed="false" customWidth="true" hidden="false" outlineLevel="0" max="3" min="3" style="0" width="8"/>
    <col collapsed="false" customWidth="true" hidden="false" outlineLevel="0" max="4" min="4" style="0" width="70"/>
  </cols>
  <sheetData>
    <row r="1" customFormat="false" ht="30" hidden="false" customHeight="true" outlineLevel="0" collapsed="false">
      <c r="A1" s="14" t="s">
        <v>1909</v>
      </c>
      <c r="B1" s="14" t="s">
        <v>1910</v>
      </c>
      <c r="C1" s="14" t="s">
        <v>1442</v>
      </c>
      <c r="D1" s="14" t="s">
        <v>1911</v>
      </c>
    </row>
    <row r="2" customFormat="false" ht="15" hidden="false" customHeight="false" outlineLevel="0" collapsed="false">
      <c r="A2" s="15" t="s">
        <v>1912</v>
      </c>
      <c r="B2" s="15" t="s">
        <v>1913</v>
      </c>
      <c r="C2" s="15" t="n">
        <v>301</v>
      </c>
      <c r="D2" s="15" t="s">
        <v>1914</v>
      </c>
    </row>
    <row r="3" customFormat="false" ht="15" hidden="false" customHeight="false" outlineLevel="0" collapsed="false">
      <c r="A3" s="15" t="s">
        <v>1915</v>
      </c>
      <c r="B3" s="15" t="s">
        <v>1913</v>
      </c>
      <c r="C3" s="15" t="n">
        <v>301</v>
      </c>
      <c r="D3" s="15" t="s">
        <v>1916</v>
      </c>
    </row>
    <row r="4" customFormat="false" ht="15" hidden="false" customHeight="false" outlineLevel="0" collapsed="false">
      <c r="A4" s="15" t="s">
        <v>1917</v>
      </c>
      <c r="B4" s="15" t="s">
        <v>1918</v>
      </c>
      <c r="C4" s="15" t="n">
        <v>301</v>
      </c>
      <c r="D4" s="15" t="s">
        <v>1919</v>
      </c>
    </row>
    <row r="5" customFormat="false" ht="15" hidden="false" customHeight="false" outlineLevel="0" collapsed="false">
      <c r="A5" s="15" t="s">
        <v>1920</v>
      </c>
      <c r="B5" s="15" t="s">
        <v>1918</v>
      </c>
      <c r="C5" s="15" t="n">
        <v>301</v>
      </c>
      <c r="D5" s="15" t="s">
        <v>1921</v>
      </c>
    </row>
    <row r="6" customFormat="false" ht="15" hidden="false" customHeight="false" outlineLevel="0" collapsed="false">
      <c r="A6" s="15" t="s">
        <v>1922</v>
      </c>
      <c r="B6" s="15" t="s">
        <v>100</v>
      </c>
      <c r="C6" s="15" t="n">
        <v>301</v>
      </c>
      <c r="D6" s="15" t="s">
        <v>1923</v>
      </c>
    </row>
    <row r="7" customFormat="false" ht="15" hidden="false" customHeight="false" outlineLevel="0" collapsed="false">
      <c r="A7" s="15" t="s">
        <v>1924</v>
      </c>
      <c r="B7" s="15" t="s">
        <v>100</v>
      </c>
      <c r="C7" s="15" t="n">
        <v>301</v>
      </c>
      <c r="D7" s="15" t="s">
        <v>1923</v>
      </c>
    </row>
    <row r="8" customFormat="false" ht="15" hidden="false" customHeight="false" outlineLevel="0" collapsed="false">
      <c r="A8" s="15" t="s">
        <v>1925</v>
      </c>
      <c r="B8" s="15" t="s">
        <v>100</v>
      </c>
      <c r="C8" s="15" t="n">
        <v>301</v>
      </c>
      <c r="D8" s="15" t="s">
        <v>1923</v>
      </c>
    </row>
    <row r="9" customFormat="false" ht="15" hidden="false" customHeight="false" outlineLevel="0" collapsed="false">
      <c r="A9" s="15" t="s">
        <v>1926</v>
      </c>
      <c r="B9" s="15" t="s">
        <v>147</v>
      </c>
      <c r="C9" s="15" t="n">
        <v>301</v>
      </c>
      <c r="D9" s="15" t="s">
        <v>1923</v>
      </c>
    </row>
    <row r="10" customFormat="false" ht="15" hidden="false" customHeight="false" outlineLevel="0" collapsed="false">
      <c r="A10" s="15" t="s">
        <v>1927</v>
      </c>
      <c r="B10" s="15" t="s">
        <v>147</v>
      </c>
      <c r="C10" s="15" t="n">
        <v>301</v>
      </c>
      <c r="D10" s="15" t="s">
        <v>1923</v>
      </c>
    </row>
    <row r="11" customFormat="false" ht="15" hidden="false" customHeight="false" outlineLevel="0" collapsed="false">
      <c r="A11" s="15" t="s">
        <v>1928</v>
      </c>
      <c r="B11" s="15" t="s">
        <v>147</v>
      </c>
      <c r="C11" s="15" t="n">
        <v>301</v>
      </c>
      <c r="D11" s="15" t="s">
        <v>1923</v>
      </c>
    </row>
    <row r="12" customFormat="false" ht="15" hidden="false" customHeight="false" outlineLevel="0" collapsed="false">
      <c r="A12" s="15" t="s">
        <v>1929</v>
      </c>
      <c r="B12" s="15" t="s">
        <v>147</v>
      </c>
      <c r="C12" s="15" t="n">
        <v>301</v>
      </c>
      <c r="D12" s="15" t="s">
        <v>1923</v>
      </c>
    </row>
    <row r="13" customFormat="false" ht="15" hidden="false" customHeight="false" outlineLevel="0" collapsed="false">
      <c r="A13" s="15" t="s">
        <v>1930</v>
      </c>
      <c r="B13" s="15" t="s">
        <v>147</v>
      </c>
      <c r="C13" s="15" t="n">
        <v>301</v>
      </c>
      <c r="D13" s="15" t="s">
        <v>1923</v>
      </c>
    </row>
    <row r="14" customFormat="false" ht="15" hidden="false" customHeight="false" outlineLevel="0" collapsed="false">
      <c r="A14" s="15" t="s">
        <v>1931</v>
      </c>
      <c r="B14" s="15" t="s">
        <v>116</v>
      </c>
      <c r="C14" s="15" t="n">
        <v>301</v>
      </c>
      <c r="D14" s="15" t="s">
        <v>1923</v>
      </c>
    </row>
    <row r="15" customFormat="false" ht="15" hidden="false" customHeight="false" outlineLevel="0" collapsed="false">
      <c r="A15" s="15" t="s">
        <v>1932</v>
      </c>
      <c r="B15" s="15" t="s">
        <v>116</v>
      </c>
      <c r="C15" s="15" t="n">
        <v>301</v>
      </c>
      <c r="D15" s="15" t="s">
        <v>1923</v>
      </c>
    </row>
    <row r="16" customFormat="false" ht="15" hidden="false" customHeight="false" outlineLevel="0" collapsed="false">
      <c r="A16" s="15" t="s">
        <v>1933</v>
      </c>
      <c r="B16" s="15" t="s">
        <v>116</v>
      </c>
      <c r="C16" s="15" t="n">
        <v>301</v>
      </c>
      <c r="D16" s="15" t="s">
        <v>1923</v>
      </c>
    </row>
    <row r="17" customFormat="false" ht="15" hidden="false" customHeight="false" outlineLevel="0" collapsed="false">
      <c r="A17" s="15" t="s">
        <v>1934</v>
      </c>
      <c r="B17" s="15" t="s">
        <v>116</v>
      </c>
      <c r="C17" s="15" t="n">
        <v>301</v>
      </c>
      <c r="D17" s="15" t="s">
        <v>1923</v>
      </c>
    </row>
    <row r="18" customFormat="false" ht="15" hidden="false" customHeight="false" outlineLevel="0" collapsed="false">
      <c r="A18" s="15" t="s">
        <v>1935</v>
      </c>
      <c r="B18" s="15" t="s">
        <v>116</v>
      </c>
      <c r="C18" s="15" t="n">
        <v>301</v>
      </c>
      <c r="D18" s="15" t="s">
        <v>1923</v>
      </c>
    </row>
    <row r="19" customFormat="false" ht="15" hidden="false" customHeight="false" outlineLevel="0" collapsed="false">
      <c r="A19" s="15" t="s">
        <v>1936</v>
      </c>
      <c r="B19" s="15" t="s">
        <v>116</v>
      </c>
      <c r="C19" s="15" t="n">
        <v>301</v>
      </c>
      <c r="D19" s="15" t="s">
        <v>1923</v>
      </c>
    </row>
    <row r="20" customFormat="false" ht="15" hidden="false" customHeight="false" outlineLevel="0" collapsed="false">
      <c r="A20" s="15" t="s">
        <v>1937</v>
      </c>
      <c r="B20" s="15" t="s">
        <v>116</v>
      </c>
      <c r="C20" s="15" t="n">
        <v>301</v>
      </c>
      <c r="D20" s="15" t="s">
        <v>1923</v>
      </c>
    </row>
    <row r="21" customFormat="false" ht="15" hidden="false" customHeight="false" outlineLevel="0" collapsed="false">
      <c r="A21" s="15" t="s">
        <v>1938</v>
      </c>
      <c r="B21" s="15" t="s">
        <v>116</v>
      </c>
      <c r="C21" s="15" t="n">
        <v>301</v>
      </c>
      <c r="D21" s="15" t="s">
        <v>1923</v>
      </c>
    </row>
    <row r="22" customFormat="false" ht="15" hidden="false" customHeight="false" outlineLevel="0" collapsed="false">
      <c r="A22" s="15" t="s">
        <v>1939</v>
      </c>
      <c r="B22" s="15" t="s">
        <v>125</v>
      </c>
      <c r="C22" s="15" t="n">
        <v>301</v>
      </c>
      <c r="D22" s="15" t="s">
        <v>1923</v>
      </c>
    </row>
    <row r="23" customFormat="false" ht="15" hidden="false" customHeight="false" outlineLevel="0" collapsed="false">
      <c r="A23" s="15" t="s">
        <v>1940</v>
      </c>
      <c r="B23" s="15" t="s">
        <v>125</v>
      </c>
      <c r="C23" s="15" t="n">
        <v>301</v>
      </c>
      <c r="D23" s="15" t="s">
        <v>1923</v>
      </c>
    </row>
    <row r="24" customFormat="false" ht="15" hidden="false" customHeight="false" outlineLevel="0" collapsed="false">
      <c r="A24" s="15" t="s">
        <v>1941</v>
      </c>
      <c r="B24" s="15" t="s">
        <v>125</v>
      </c>
      <c r="C24" s="15" t="n">
        <v>301</v>
      </c>
      <c r="D24" s="15" t="s">
        <v>1923</v>
      </c>
    </row>
    <row r="25" customFormat="false" ht="15" hidden="false" customHeight="false" outlineLevel="0" collapsed="false">
      <c r="A25" s="15" t="s">
        <v>1942</v>
      </c>
      <c r="B25" s="15" t="s">
        <v>125</v>
      </c>
      <c r="C25" s="15" t="n">
        <v>301</v>
      </c>
      <c r="D25" s="15" t="s">
        <v>1923</v>
      </c>
    </row>
    <row r="26" customFormat="false" ht="15" hidden="false" customHeight="false" outlineLevel="0" collapsed="false">
      <c r="A26" s="15" t="s">
        <v>1943</v>
      </c>
      <c r="B26" s="15" t="s">
        <v>172</v>
      </c>
      <c r="C26" s="15" t="n">
        <v>301</v>
      </c>
      <c r="D26" s="15" t="s">
        <v>1923</v>
      </c>
    </row>
    <row r="27" customFormat="false" ht="15" hidden="false" customHeight="false" outlineLevel="0" collapsed="false">
      <c r="A27" s="15" t="s">
        <v>1944</v>
      </c>
      <c r="B27" s="15" t="s">
        <v>172</v>
      </c>
      <c r="C27" s="15" t="n">
        <v>301</v>
      </c>
      <c r="D27" s="15" t="s">
        <v>1923</v>
      </c>
    </row>
    <row r="28" customFormat="false" ht="15" hidden="false" customHeight="false" outlineLevel="0" collapsed="false">
      <c r="A28" s="15" t="s">
        <v>1945</v>
      </c>
      <c r="B28" s="15" t="s">
        <v>155</v>
      </c>
      <c r="C28" s="15" t="n">
        <v>301</v>
      </c>
      <c r="D28" s="15" t="s">
        <v>1923</v>
      </c>
    </row>
    <row r="29" customFormat="false" ht="15" hidden="false" customHeight="false" outlineLevel="0" collapsed="false">
      <c r="A29" s="15" t="s">
        <v>1946</v>
      </c>
      <c r="B29" s="15" t="s">
        <v>155</v>
      </c>
      <c r="C29" s="15" t="n">
        <v>301</v>
      </c>
      <c r="D29" s="15" t="s">
        <v>1923</v>
      </c>
    </row>
    <row r="30" customFormat="false" ht="15" hidden="false" customHeight="false" outlineLevel="0" collapsed="false">
      <c r="A30" s="15" t="s">
        <v>1947</v>
      </c>
      <c r="B30" s="15" t="s">
        <v>155</v>
      </c>
      <c r="C30" s="15" t="n">
        <v>301</v>
      </c>
      <c r="D30" s="15" t="s">
        <v>1923</v>
      </c>
    </row>
    <row r="31" customFormat="false" ht="15" hidden="false" customHeight="false" outlineLevel="0" collapsed="false">
      <c r="A31" s="15" t="s">
        <v>1948</v>
      </c>
      <c r="B31" s="15" t="s">
        <v>155</v>
      </c>
      <c r="C31" s="15" t="n">
        <v>301</v>
      </c>
      <c r="D31" s="15" t="s">
        <v>1923</v>
      </c>
    </row>
    <row r="32" customFormat="false" ht="15" hidden="false" customHeight="false" outlineLevel="0" collapsed="false">
      <c r="A32" s="15" t="s">
        <v>1949</v>
      </c>
      <c r="B32" s="15" t="s">
        <v>155</v>
      </c>
      <c r="C32" s="15" t="n">
        <v>301</v>
      </c>
      <c r="D32" s="15" t="s">
        <v>1923</v>
      </c>
    </row>
    <row r="33" customFormat="false" ht="15" hidden="false" customHeight="false" outlineLevel="0" collapsed="false">
      <c r="A33" s="15" t="s">
        <v>1950</v>
      </c>
      <c r="B33" s="15" t="s">
        <v>138</v>
      </c>
      <c r="C33" s="15" t="n">
        <v>301</v>
      </c>
      <c r="D33" s="15" t="s">
        <v>1923</v>
      </c>
    </row>
    <row r="34" customFormat="false" ht="15" hidden="false" customHeight="false" outlineLevel="0" collapsed="false">
      <c r="A34" s="15" t="s">
        <v>1951</v>
      </c>
      <c r="B34" s="15" t="s">
        <v>138</v>
      </c>
      <c r="C34" s="15" t="n">
        <v>301</v>
      </c>
      <c r="D34" s="15" t="s">
        <v>1923</v>
      </c>
    </row>
    <row r="35" customFormat="false" ht="15" hidden="false" customHeight="false" outlineLevel="0" collapsed="false">
      <c r="A35" s="15" t="s">
        <v>1952</v>
      </c>
      <c r="B35" s="15" t="s">
        <v>138</v>
      </c>
      <c r="C35" s="15" t="n">
        <v>301</v>
      </c>
      <c r="D35" s="15" t="s">
        <v>1923</v>
      </c>
    </row>
    <row r="36" customFormat="false" ht="15" hidden="false" customHeight="false" outlineLevel="0" collapsed="false">
      <c r="A36" s="15" t="s">
        <v>1953</v>
      </c>
      <c r="B36" s="15" t="s">
        <v>138</v>
      </c>
      <c r="C36" s="15" t="n">
        <v>301</v>
      </c>
      <c r="D36" s="15" t="s">
        <v>1923</v>
      </c>
    </row>
    <row r="37" customFormat="false" ht="15" hidden="false" customHeight="false" outlineLevel="0" collapsed="false">
      <c r="A37" s="15" t="s">
        <v>1954</v>
      </c>
      <c r="B37" s="15" t="s">
        <v>147</v>
      </c>
      <c r="C37" s="15" t="n">
        <v>301</v>
      </c>
      <c r="D37" s="15" t="s">
        <v>1923</v>
      </c>
    </row>
    <row r="38" customFormat="false" ht="15" hidden="false" customHeight="false" outlineLevel="0" collapsed="false">
      <c r="A38" s="15" t="s">
        <v>1955</v>
      </c>
      <c r="B38" s="15" t="s">
        <v>147</v>
      </c>
      <c r="C38" s="15" t="n">
        <v>301</v>
      </c>
      <c r="D38" s="15" t="s">
        <v>1923</v>
      </c>
    </row>
    <row r="39" customFormat="false" ht="15" hidden="false" customHeight="false" outlineLevel="0" collapsed="false">
      <c r="A39" s="15" t="s">
        <v>1956</v>
      </c>
      <c r="B39" s="15" t="s">
        <v>147</v>
      </c>
      <c r="C39" s="15" t="n">
        <v>301</v>
      </c>
      <c r="D39" s="15" t="s">
        <v>1923</v>
      </c>
    </row>
    <row r="40" customFormat="false" ht="15" hidden="false" customHeight="false" outlineLevel="0" collapsed="false">
      <c r="A40" s="15" t="s">
        <v>1957</v>
      </c>
      <c r="B40" s="15" t="s">
        <v>147</v>
      </c>
      <c r="C40" s="15" t="n">
        <v>301</v>
      </c>
      <c r="D40" s="15" t="s">
        <v>1923</v>
      </c>
    </row>
    <row r="41" customFormat="false" ht="15" hidden="false" customHeight="false" outlineLevel="0" collapsed="false">
      <c r="A41" s="15" t="s">
        <v>1958</v>
      </c>
      <c r="B41" s="15" t="s">
        <v>961</v>
      </c>
      <c r="C41" s="15" t="n">
        <v>301</v>
      </c>
      <c r="D41" s="15" t="s">
        <v>1923</v>
      </c>
    </row>
    <row r="42" customFormat="false" ht="15" hidden="false" customHeight="false" outlineLevel="0" collapsed="false">
      <c r="A42" s="15" t="s">
        <v>1959</v>
      </c>
      <c r="B42" s="15" t="s">
        <v>1960</v>
      </c>
      <c r="C42" s="15" t="n">
        <v>410</v>
      </c>
      <c r="D42" s="15" t="s">
        <v>1961</v>
      </c>
    </row>
    <row r="43" customFormat="false" ht="15" hidden="false" customHeight="false" outlineLevel="0" collapsed="false">
      <c r="A43" s="15" t="s">
        <v>1962</v>
      </c>
      <c r="B43" s="15" t="s">
        <v>1960</v>
      </c>
      <c r="C43" s="15" t="n">
        <v>410</v>
      </c>
      <c r="D43" s="15" t="s">
        <v>1961</v>
      </c>
    </row>
    <row r="44" customFormat="false" ht="15" hidden="false" customHeight="false" outlineLevel="0" collapsed="false">
      <c r="A44" s="15" t="s">
        <v>1963</v>
      </c>
      <c r="B44" s="15" t="s">
        <v>1960</v>
      </c>
      <c r="C44" s="15" t="n">
        <v>410</v>
      </c>
      <c r="D44" s="15" t="s">
        <v>1961</v>
      </c>
    </row>
    <row r="45" customFormat="false" ht="15" hidden="false" customHeight="false" outlineLevel="0" collapsed="false">
      <c r="A45" s="15" t="s">
        <v>1964</v>
      </c>
      <c r="B45" s="15" t="s">
        <v>1960</v>
      </c>
      <c r="C45" s="15" t="n">
        <v>410</v>
      </c>
      <c r="D45" s="15" t="s">
        <v>1961</v>
      </c>
    </row>
    <row r="46" customFormat="false" ht="15" hidden="false" customHeight="false" outlineLevel="0" collapsed="false">
      <c r="A46" s="15" t="s">
        <v>1965</v>
      </c>
      <c r="B46" s="15" t="s">
        <v>1960</v>
      </c>
      <c r="C46" s="15" t="n">
        <v>410</v>
      </c>
      <c r="D46" s="15" t="s">
        <v>1961</v>
      </c>
    </row>
    <row r="47" customFormat="false" ht="15" hidden="false" customHeight="false" outlineLevel="0" collapsed="false">
      <c r="A47" s="15" t="s">
        <v>1966</v>
      </c>
      <c r="B47" s="15" t="s">
        <v>1960</v>
      </c>
      <c r="C47" s="15" t="n">
        <v>410</v>
      </c>
      <c r="D47" s="15" t="s">
        <v>1961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10"/>
    <col collapsed="false" customWidth="true" hidden="false" outlineLevel="0" max="4" min="4" style="0" width="60"/>
    <col collapsed="false" customWidth="true" hidden="false" outlineLevel="0" max="6" min="5" style="0" width="34"/>
    <col collapsed="false" customWidth="true" hidden="false" outlineLevel="0" max="7" min="7" style="0" width="8"/>
    <col collapsed="false" customWidth="true" hidden="false" outlineLevel="0" max="9" min="8" style="0" width="9"/>
    <col collapsed="false" customWidth="true" hidden="false" outlineLevel="0" max="10" min="10" style="0" width="12"/>
  </cols>
  <sheetData>
    <row r="1" customFormat="false" ht="30" hidden="false" customHeight="true" outlineLevel="0" collapsed="false">
      <c r="A1" s="14" t="s">
        <v>1967</v>
      </c>
      <c r="B1" s="14" t="s">
        <v>1968</v>
      </c>
      <c r="C1" s="14" t="s">
        <v>1969</v>
      </c>
      <c r="D1" s="14" t="s">
        <v>1970</v>
      </c>
      <c r="E1" s="14" t="s">
        <v>1971</v>
      </c>
      <c r="F1" s="14" t="s">
        <v>1972</v>
      </c>
      <c r="G1" s="14" t="s">
        <v>1973</v>
      </c>
      <c r="H1" s="14" t="s">
        <v>1974</v>
      </c>
      <c r="I1" s="14" t="s">
        <v>1975</v>
      </c>
      <c r="J1" s="14" t="s">
        <v>1976</v>
      </c>
    </row>
    <row r="2" customFormat="false" ht="23.85" hidden="false" customHeight="false" outlineLevel="0" collapsed="false">
      <c r="A2" s="15" t="s">
        <v>1977</v>
      </c>
      <c r="B2" s="15" t="s">
        <v>1978</v>
      </c>
      <c r="C2" s="15" t="n">
        <v>89</v>
      </c>
      <c r="D2" s="15" t="s">
        <v>1979</v>
      </c>
      <c r="E2" s="15" t="s">
        <v>1980</v>
      </c>
      <c r="F2" s="15" t="s">
        <v>1981</v>
      </c>
      <c r="G2" s="15" t="s">
        <v>1982</v>
      </c>
      <c r="H2" s="15" t="n">
        <v>400</v>
      </c>
      <c r="I2" s="15" t="n">
        <v>14.3</v>
      </c>
      <c r="J2" s="17" t="n">
        <f aca="false">IF(ISNUMBER(C2),1-I2/C2,"")</f>
        <v>0.839325842696629</v>
      </c>
    </row>
    <row r="3" customFormat="false" ht="23.85" hidden="false" customHeight="false" outlineLevel="0" collapsed="false">
      <c r="A3" s="15" t="s">
        <v>1977</v>
      </c>
      <c r="B3" s="15" t="s">
        <v>1978</v>
      </c>
      <c r="C3" s="15" t="n">
        <v>89</v>
      </c>
      <c r="D3" s="15" t="s">
        <v>1979</v>
      </c>
      <c r="E3" s="15" t="s">
        <v>1980</v>
      </c>
      <c r="F3" s="15" t="s">
        <v>1983</v>
      </c>
      <c r="G3" s="15" t="s">
        <v>1984</v>
      </c>
      <c r="H3" s="15" t="n">
        <v>400</v>
      </c>
      <c r="I3" s="15" t="n">
        <v>30.4</v>
      </c>
      <c r="J3" s="17" t="n">
        <f aca="false">IF(ISNUMBER(C3),1-I3/C3,"")</f>
        <v>0.658426966292135</v>
      </c>
    </row>
    <row r="4" customFormat="false" ht="23.85" hidden="false" customHeight="false" outlineLevel="0" collapsed="false">
      <c r="A4" s="15" t="s">
        <v>1977</v>
      </c>
      <c r="B4" s="15" t="s">
        <v>1978</v>
      </c>
      <c r="C4" s="15" t="n">
        <v>89</v>
      </c>
      <c r="D4" s="15" t="s">
        <v>1979</v>
      </c>
      <c r="E4" s="15" t="s">
        <v>1980</v>
      </c>
      <c r="F4" s="15" t="s">
        <v>1985</v>
      </c>
      <c r="G4" s="15" t="s">
        <v>1986</v>
      </c>
      <c r="H4" s="15" t="n">
        <v>400</v>
      </c>
      <c r="I4" s="15" t="n">
        <v>22.3</v>
      </c>
      <c r="J4" s="17" t="n">
        <f aca="false">IF(ISNUMBER(C4),1-I4/C4,"")</f>
        <v>0.749438202247191</v>
      </c>
    </row>
    <row r="5" customFormat="false" ht="23.85" hidden="false" customHeight="false" outlineLevel="0" collapsed="false">
      <c r="A5" s="15" t="s">
        <v>1977</v>
      </c>
      <c r="B5" s="15" t="s">
        <v>1978</v>
      </c>
      <c r="C5" s="15" t="n">
        <v>89</v>
      </c>
      <c r="D5" s="15" t="s">
        <v>1979</v>
      </c>
      <c r="E5" s="15" t="s">
        <v>1980</v>
      </c>
      <c r="F5" s="15" t="s">
        <v>1987</v>
      </c>
      <c r="G5" s="15" t="s">
        <v>1982</v>
      </c>
      <c r="H5" s="15" t="n">
        <v>690</v>
      </c>
      <c r="I5" s="15" t="n">
        <v>32.6</v>
      </c>
      <c r="J5" s="17" t="n">
        <f aca="false">IF(ISNUMBER(C5),1-I5/C5,"")</f>
        <v>0.633707865168539</v>
      </c>
    </row>
    <row r="6" customFormat="false" ht="23.85" hidden="false" customHeight="false" outlineLevel="0" collapsed="false">
      <c r="A6" s="15" t="s">
        <v>1977</v>
      </c>
      <c r="B6" s="15" t="s">
        <v>1978</v>
      </c>
      <c r="C6" s="15" t="n">
        <v>89</v>
      </c>
      <c r="D6" s="15" t="s">
        <v>1979</v>
      </c>
      <c r="E6" s="15" t="s">
        <v>1980</v>
      </c>
      <c r="F6" s="15" t="s">
        <v>1988</v>
      </c>
      <c r="G6" s="15" t="s">
        <v>1984</v>
      </c>
      <c r="H6" s="15" t="n">
        <v>690</v>
      </c>
      <c r="I6" s="15" t="n">
        <v>79.1</v>
      </c>
      <c r="J6" s="17" t="n">
        <f aca="false">IF(ISNUMBER(C6),1-I6/C6,"")</f>
        <v>0.11123595505618</v>
      </c>
    </row>
    <row r="7" customFormat="false" ht="23.85" hidden="false" customHeight="false" outlineLevel="0" collapsed="false">
      <c r="A7" s="15" t="s">
        <v>1977</v>
      </c>
      <c r="B7" s="15" t="s">
        <v>1978</v>
      </c>
      <c r="C7" s="15" t="n">
        <v>89</v>
      </c>
      <c r="D7" s="15" t="s">
        <v>1979</v>
      </c>
      <c r="E7" s="15" t="s">
        <v>1980</v>
      </c>
      <c r="F7" s="15" t="s">
        <v>1989</v>
      </c>
      <c r="G7" s="15" t="s">
        <v>1986</v>
      </c>
      <c r="H7" s="15" t="n">
        <v>690</v>
      </c>
      <c r="I7" s="15" t="n">
        <v>49.3</v>
      </c>
      <c r="J7" s="17" t="n">
        <f aca="false">IF(ISNUMBER(C7),1-I7/C7,"")</f>
        <v>0.446067415730337</v>
      </c>
    </row>
    <row r="8" customFormat="false" ht="15" hidden="false" customHeight="false" outlineLevel="0" collapsed="false">
      <c r="A8" s="15" t="s">
        <v>1990</v>
      </c>
      <c r="B8" s="15" t="s">
        <v>1991</v>
      </c>
      <c r="C8" s="15"/>
      <c r="D8" s="15" t="s">
        <v>1992</v>
      </c>
      <c r="E8" s="15" t="s">
        <v>1993</v>
      </c>
      <c r="F8" s="15" t="s">
        <v>1994</v>
      </c>
      <c r="G8" s="15" t="s">
        <v>1995</v>
      </c>
      <c r="H8" s="15" t="n">
        <v>140</v>
      </c>
      <c r="I8" s="15" t="n">
        <v>6.3</v>
      </c>
      <c r="J8" s="17" t="str">
        <f aca="false">IF(ISNUMBER(C8),1-I8/C8,"")</f>
        <v/>
      </c>
    </row>
    <row r="9" customFormat="false" ht="15" hidden="false" customHeight="false" outlineLevel="0" collapsed="false">
      <c r="A9" s="15" t="s">
        <v>1990</v>
      </c>
      <c r="B9" s="15" t="s">
        <v>1991</v>
      </c>
      <c r="C9" s="15"/>
      <c r="D9" s="15" t="s">
        <v>1992</v>
      </c>
      <c r="E9" s="15" t="s">
        <v>1993</v>
      </c>
      <c r="F9" s="15" t="s">
        <v>1996</v>
      </c>
      <c r="G9" s="15" t="s">
        <v>1986</v>
      </c>
      <c r="H9" s="15" t="n">
        <v>140</v>
      </c>
      <c r="I9" s="15" t="n">
        <v>3.9</v>
      </c>
      <c r="J9" s="17" t="str">
        <f aca="false">IF(ISNUMBER(C9),1-I9/C9,"")</f>
        <v/>
      </c>
    </row>
    <row r="10" customFormat="false" ht="15" hidden="false" customHeight="false" outlineLevel="0" collapsed="false">
      <c r="A10" s="15" t="s">
        <v>1990</v>
      </c>
      <c r="B10" s="15" t="s">
        <v>1991</v>
      </c>
      <c r="C10" s="15"/>
      <c r="D10" s="15" t="s">
        <v>1992</v>
      </c>
      <c r="E10" s="15" t="s">
        <v>1993</v>
      </c>
      <c r="F10" s="15" t="s">
        <v>1997</v>
      </c>
      <c r="G10" s="15" t="s">
        <v>1995</v>
      </c>
      <c r="H10" s="15" t="n">
        <v>279</v>
      </c>
      <c r="I10" s="15" t="n">
        <v>17.2</v>
      </c>
      <c r="J10" s="17" t="str">
        <f aca="false">IF(ISNUMBER(C10),1-I10/C10,"")</f>
        <v/>
      </c>
    </row>
    <row r="11" customFormat="false" ht="15" hidden="false" customHeight="false" outlineLevel="0" collapsed="false">
      <c r="A11" s="15" t="s">
        <v>1990</v>
      </c>
      <c r="B11" s="15" t="s">
        <v>1991</v>
      </c>
      <c r="C11" s="15"/>
      <c r="D11" s="15" t="s">
        <v>1992</v>
      </c>
      <c r="E11" s="15" t="s">
        <v>1993</v>
      </c>
      <c r="F11" s="15" t="s">
        <v>1998</v>
      </c>
      <c r="G11" s="15" t="s">
        <v>1986</v>
      </c>
      <c r="H11" s="15" t="n">
        <v>279</v>
      </c>
      <c r="I11" s="15" t="n">
        <v>9.9</v>
      </c>
      <c r="J11" s="17" t="str">
        <f aca="false">IF(ISNUMBER(C11),1-I11/C11,"")</f>
        <v/>
      </c>
    </row>
    <row r="12" customFormat="false" ht="15" hidden="false" customHeight="false" outlineLevel="0" collapsed="false">
      <c r="A12" s="15" t="s">
        <v>1999</v>
      </c>
      <c r="B12" s="15" t="s">
        <v>2000</v>
      </c>
      <c r="C12" s="15"/>
      <c r="D12" s="15" t="s">
        <v>2001</v>
      </c>
      <c r="E12" s="15" t="s">
        <v>1993</v>
      </c>
      <c r="F12" s="15" t="s">
        <v>2002</v>
      </c>
      <c r="G12" s="15" t="s">
        <v>1995</v>
      </c>
      <c r="H12" s="15" t="n">
        <v>102</v>
      </c>
      <c r="I12" s="15" t="n">
        <v>5.3</v>
      </c>
      <c r="J12" s="17" t="str">
        <f aca="false">IF(ISNUMBER(C12),1-I12/C12,"")</f>
        <v/>
      </c>
    </row>
    <row r="13" customFormat="false" ht="15" hidden="false" customHeight="false" outlineLevel="0" collapsed="false">
      <c r="A13" s="15" t="s">
        <v>1999</v>
      </c>
      <c r="B13" s="15" t="s">
        <v>2000</v>
      </c>
      <c r="C13" s="15"/>
      <c r="D13" s="15" t="s">
        <v>2001</v>
      </c>
      <c r="E13" s="15" t="s">
        <v>1993</v>
      </c>
      <c r="F13" s="15" t="s">
        <v>2003</v>
      </c>
      <c r="G13" s="15" t="s">
        <v>1986</v>
      </c>
      <c r="H13" s="15" t="n">
        <v>102</v>
      </c>
      <c r="I13" s="15" t="n">
        <v>1.7</v>
      </c>
      <c r="J13" s="17" t="str">
        <f aca="false">IF(ISNUMBER(C13),1-I13/C13,"")</f>
        <v/>
      </c>
    </row>
    <row r="14" customFormat="false" ht="15" hidden="false" customHeight="false" outlineLevel="0" collapsed="false">
      <c r="A14" s="15" t="s">
        <v>1999</v>
      </c>
      <c r="B14" s="15" t="s">
        <v>2000</v>
      </c>
      <c r="C14" s="15"/>
      <c r="D14" s="15" t="s">
        <v>2001</v>
      </c>
      <c r="E14" s="15" t="s">
        <v>1993</v>
      </c>
      <c r="F14" s="15" t="s">
        <v>2004</v>
      </c>
      <c r="G14" s="15" t="s">
        <v>1995</v>
      </c>
      <c r="H14" s="15" t="n">
        <v>205</v>
      </c>
      <c r="I14" s="15" t="n">
        <v>15</v>
      </c>
      <c r="J14" s="17" t="str">
        <f aca="false">IF(ISNUMBER(C14),1-I14/C14,"")</f>
        <v/>
      </c>
    </row>
    <row r="15" customFormat="false" ht="15" hidden="false" customHeight="false" outlineLevel="0" collapsed="false">
      <c r="A15" s="15" t="s">
        <v>1999</v>
      </c>
      <c r="B15" s="15" t="s">
        <v>2000</v>
      </c>
      <c r="C15" s="15"/>
      <c r="D15" s="15" t="s">
        <v>2001</v>
      </c>
      <c r="E15" s="15" t="s">
        <v>1993</v>
      </c>
      <c r="F15" s="15" t="s">
        <v>2005</v>
      </c>
      <c r="G15" s="15" t="s">
        <v>1986</v>
      </c>
      <c r="H15" s="15" t="n">
        <v>205</v>
      </c>
      <c r="I15" s="15" t="n">
        <v>3.8</v>
      </c>
      <c r="J15" s="17" t="str">
        <f aca="false">IF(ISNUMBER(C15),1-I15/C15,"")</f>
        <v/>
      </c>
    </row>
    <row r="16" customFormat="false" ht="15" hidden="false" customHeight="false" outlineLevel="0" collapsed="false">
      <c r="A16" s="15" t="s">
        <v>2006</v>
      </c>
      <c r="B16" s="15" t="s">
        <v>2007</v>
      </c>
      <c r="C16" s="15"/>
      <c r="D16" s="15" t="s">
        <v>2008</v>
      </c>
      <c r="E16" s="15" t="s">
        <v>1993</v>
      </c>
      <c r="F16" s="15" t="s">
        <v>2009</v>
      </c>
      <c r="G16" s="15" t="s">
        <v>1995</v>
      </c>
      <c r="H16" s="15" t="n">
        <v>83</v>
      </c>
      <c r="I16" s="15" t="n">
        <v>5</v>
      </c>
      <c r="J16" s="17" t="str">
        <f aca="false">IF(ISNUMBER(C16),1-I16/C16,"")</f>
        <v/>
      </c>
    </row>
    <row r="17" customFormat="false" ht="15" hidden="false" customHeight="false" outlineLevel="0" collapsed="false">
      <c r="A17" s="15" t="s">
        <v>2006</v>
      </c>
      <c r="B17" s="15" t="s">
        <v>2007</v>
      </c>
      <c r="C17" s="15"/>
      <c r="D17" s="15" t="s">
        <v>2008</v>
      </c>
      <c r="E17" s="15" t="s">
        <v>1993</v>
      </c>
      <c r="F17" s="15" t="s">
        <v>2010</v>
      </c>
      <c r="G17" s="15" t="s">
        <v>1986</v>
      </c>
      <c r="H17" s="15" t="n">
        <v>83</v>
      </c>
      <c r="I17" s="15" t="n">
        <v>1.9</v>
      </c>
      <c r="J17" s="17" t="str">
        <f aca="false">IF(ISNUMBER(C17),1-I17/C17,"")</f>
        <v/>
      </c>
    </row>
    <row r="18" customFormat="false" ht="15" hidden="false" customHeight="false" outlineLevel="0" collapsed="false">
      <c r="A18" s="15" t="s">
        <v>2006</v>
      </c>
      <c r="B18" s="15" t="s">
        <v>2007</v>
      </c>
      <c r="C18" s="15"/>
      <c r="D18" s="15" t="s">
        <v>2008</v>
      </c>
      <c r="E18" s="15" t="s">
        <v>1993</v>
      </c>
      <c r="F18" s="15" t="s">
        <v>2011</v>
      </c>
      <c r="G18" s="15" t="s">
        <v>1995</v>
      </c>
      <c r="H18" s="15" t="n">
        <v>166</v>
      </c>
      <c r="I18" s="15" t="n">
        <v>12.5</v>
      </c>
      <c r="J18" s="17" t="str">
        <f aca="false">IF(ISNUMBER(C18),1-I18/C18,"")</f>
        <v/>
      </c>
    </row>
    <row r="19" customFormat="false" ht="15" hidden="false" customHeight="false" outlineLevel="0" collapsed="false">
      <c r="A19" s="15" t="s">
        <v>2006</v>
      </c>
      <c r="B19" s="15" t="s">
        <v>2007</v>
      </c>
      <c r="C19" s="15"/>
      <c r="D19" s="15" t="s">
        <v>2008</v>
      </c>
      <c r="E19" s="15" t="s">
        <v>1993</v>
      </c>
      <c r="F19" s="15" t="s">
        <v>2012</v>
      </c>
      <c r="G19" s="15" t="s">
        <v>1986</v>
      </c>
      <c r="H19" s="15" t="n">
        <v>166</v>
      </c>
      <c r="I19" s="15" t="n">
        <v>4.1</v>
      </c>
      <c r="J19" s="17" t="str">
        <f aca="false">IF(ISNUMBER(C19),1-I19/C19,"")</f>
        <v/>
      </c>
    </row>
    <row r="20" customFormat="false" ht="15" hidden="false" customHeight="false" outlineLevel="0" collapsed="false">
      <c r="A20" s="15" t="s">
        <v>2013</v>
      </c>
      <c r="B20" s="15" t="s">
        <v>2014</v>
      </c>
      <c r="C20" s="15"/>
      <c r="D20" s="15" t="s">
        <v>2015</v>
      </c>
      <c r="E20" s="15" t="s">
        <v>1993</v>
      </c>
      <c r="F20" s="15" t="s">
        <v>2016</v>
      </c>
      <c r="G20" s="15" t="s">
        <v>1995</v>
      </c>
      <c r="H20" s="15" t="n">
        <v>77</v>
      </c>
      <c r="I20" s="15" t="n">
        <v>2.6</v>
      </c>
      <c r="J20" s="17" t="str">
        <f aca="false">IF(ISNUMBER(C20),1-I20/C20,"")</f>
        <v/>
      </c>
    </row>
    <row r="21" customFormat="false" ht="15" hidden="false" customHeight="false" outlineLevel="0" collapsed="false">
      <c r="A21" s="15" t="s">
        <v>2013</v>
      </c>
      <c r="B21" s="15" t="s">
        <v>2014</v>
      </c>
      <c r="C21" s="15"/>
      <c r="D21" s="15" t="s">
        <v>2015</v>
      </c>
      <c r="E21" s="15" t="s">
        <v>1993</v>
      </c>
      <c r="F21" s="15" t="s">
        <v>2017</v>
      </c>
      <c r="G21" s="15" t="s">
        <v>1986</v>
      </c>
      <c r="H21" s="15" t="n">
        <v>77</v>
      </c>
      <c r="I21" s="15" t="n">
        <v>0.9</v>
      </c>
      <c r="J21" s="17" t="str">
        <f aca="false">IF(ISNUMBER(C21),1-I21/C21,"")</f>
        <v/>
      </c>
    </row>
    <row r="22" customFormat="false" ht="15" hidden="false" customHeight="false" outlineLevel="0" collapsed="false">
      <c r="A22" s="15" t="s">
        <v>2013</v>
      </c>
      <c r="B22" s="15" t="s">
        <v>2014</v>
      </c>
      <c r="C22" s="15"/>
      <c r="D22" s="15" t="s">
        <v>2015</v>
      </c>
      <c r="E22" s="15" t="s">
        <v>1993</v>
      </c>
      <c r="F22" s="15" t="s">
        <v>2018</v>
      </c>
      <c r="G22" s="15" t="s">
        <v>1995</v>
      </c>
      <c r="H22" s="15" t="n">
        <v>153</v>
      </c>
      <c r="I22" s="15" t="n">
        <v>6.8</v>
      </c>
      <c r="J22" s="17" t="str">
        <f aca="false">IF(ISNUMBER(C22),1-I22/C22,"")</f>
        <v/>
      </c>
    </row>
    <row r="23" customFormat="false" ht="15" hidden="false" customHeight="false" outlineLevel="0" collapsed="false">
      <c r="A23" s="15" t="s">
        <v>2013</v>
      </c>
      <c r="B23" s="15" t="s">
        <v>2014</v>
      </c>
      <c r="C23" s="15"/>
      <c r="D23" s="15" t="s">
        <v>2015</v>
      </c>
      <c r="E23" s="15" t="s">
        <v>1993</v>
      </c>
      <c r="F23" s="15" t="s">
        <v>2019</v>
      </c>
      <c r="G23" s="15" t="s">
        <v>1986</v>
      </c>
      <c r="H23" s="15" t="n">
        <v>153</v>
      </c>
      <c r="I23" s="15" t="n">
        <v>2.2</v>
      </c>
      <c r="J23" s="17" t="str">
        <f aca="false">IF(ISNUMBER(C23),1-I23/C23,"")</f>
        <v/>
      </c>
    </row>
    <row r="24" customFormat="false" ht="15" hidden="false" customHeight="false" outlineLevel="0" collapsed="false">
      <c r="A24" s="15" t="s">
        <v>2020</v>
      </c>
      <c r="B24" s="15" t="s">
        <v>2021</v>
      </c>
      <c r="C24" s="15"/>
      <c r="D24" s="15" t="s">
        <v>2022</v>
      </c>
      <c r="E24" s="15" t="s">
        <v>2023</v>
      </c>
      <c r="F24" s="15" t="s">
        <v>2024</v>
      </c>
      <c r="G24" s="15" t="s">
        <v>1995</v>
      </c>
      <c r="H24" s="15" t="n">
        <v>1200</v>
      </c>
      <c r="I24" s="15"/>
      <c r="J24"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0"/>
    <col collapsed="false" customWidth="true" hidden="false" outlineLevel="0" max="2" min="2" style="0" width="8"/>
    <col collapsed="false" customWidth="true" hidden="false" outlineLevel="0" max="3" min="3" style="0" width="10"/>
    <col collapsed="false" customWidth="true" hidden="false" outlineLevel="0" max="4" min="4" style="0" width="70"/>
  </cols>
  <sheetData>
    <row r="1" customFormat="false" ht="30" hidden="false" customHeight="true" outlineLevel="0" collapsed="false">
      <c r="A1" s="14" t="s">
        <v>71</v>
      </c>
      <c r="B1" s="14" t="s">
        <v>1442</v>
      </c>
      <c r="C1" s="14" t="s">
        <v>2025</v>
      </c>
      <c r="D1" s="14" t="s">
        <v>2026</v>
      </c>
    </row>
    <row r="2" customFormat="false" ht="23.85" hidden="false" customHeight="false" outlineLevel="0" collapsed="false">
      <c r="A2" s="15" t="s">
        <v>2027</v>
      </c>
      <c r="B2" s="15" t="n">
        <v>403</v>
      </c>
      <c r="C2" s="15" t="s">
        <v>2028</v>
      </c>
      <c r="D2" s="15" t="s">
        <v>2029</v>
      </c>
    </row>
    <row r="3" customFormat="false" ht="15" hidden="false" customHeight="false" outlineLevel="0" collapsed="false">
      <c r="A3" s="15" t="s">
        <v>2030</v>
      </c>
      <c r="B3" s="15" t="n">
        <v>200</v>
      </c>
      <c r="C3" s="15" t="s">
        <v>113</v>
      </c>
      <c r="D3" s="15"/>
    </row>
    <row r="4" customFormat="false" ht="15" hidden="false" customHeight="false" outlineLevel="0" collapsed="false">
      <c r="A4" s="15" t="s">
        <v>2031</v>
      </c>
      <c r="B4" s="15" t="n">
        <v>200</v>
      </c>
      <c r="C4" s="15" t="s">
        <v>113</v>
      </c>
      <c r="D4" s="15"/>
    </row>
    <row r="5" customFormat="false" ht="15" hidden="false" customHeight="false" outlineLevel="0" collapsed="false">
      <c r="A5" s="15" t="s">
        <v>2032</v>
      </c>
      <c r="B5" s="15" t="n">
        <v>200</v>
      </c>
      <c r="C5" s="15" t="s">
        <v>113</v>
      </c>
      <c r="D5" s="15"/>
    </row>
    <row r="6" customFormat="false" ht="15" hidden="false" customHeight="false" outlineLevel="0" collapsed="false">
      <c r="A6" s="15" t="s">
        <v>2033</v>
      </c>
      <c r="B6" s="15" t="n">
        <v>200</v>
      </c>
      <c r="C6" s="15" t="s">
        <v>113</v>
      </c>
      <c r="D6" s="15"/>
    </row>
    <row r="7" customFormat="false" ht="15" hidden="false" customHeight="false" outlineLevel="0" collapsed="false">
      <c r="A7" s="15" t="s">
        <v>2034</v>
      </c>
      <c r="B7" s="15" t="n">
        <v>200</v>
      </c>
      <c r="C7" s="15" t="s">
        <v>113</v>
      </c>
      <c r="D7" s="15"/>
    </row>
    <row r="8" customFormat="false" ht="15" hidden="false" customHeight="false" outlineLevel="0" collapsed="false">
      <c r="A8" s="15" t="s">
        <v>2035</v>
      </c>
      <c r="B8" s="15" t="n">
        <v>200</v>
      </c>
      <c r="C8" s="15" t="s">
        <v>113</v>
      </c>
      <c r="D8" s="15"/>
    </row>
    <row r="9" customFormat="false" ht="15" hidden="false" customHeight="false" outlineLevel="0" collapsed="false">
      <c r="A9" s="15" t="s">
        <v>2036</v>
      </c>
      <c r="B9" s="15" t="n">
        <v>200</v>
      </c>
      <c r="C9" s="15" t="s">
        <v>113</v>
      </c>
      <c r="D9" s="15"/>
    </row>
    <row r="10" customFormat="false" ht="15" hidden="false" customHeight="false" outlineLevel="0" collapsed="false">
      <c r="A10" s="15" t="s">
        <v>2037</v>
      </c>
      <c r="B10" s="15" t="n">
        <v>200</v>
      </c>
      <c r="C10" s="15" t="s">
        <v>113</v>
      </c>
      <c r="D10" s="15"/>
    </row>
    <row r="11" customFormat="false" ht="15" hidden="false" customHeight="false" outlineLevel="0" collapsed="false">
      <c r="A11" s="15" t="s">
        <v>2038</v>
      </c>
      <c r="B11" s="15" t="n">
        <v>200</v>
      </c>
      <c r="C11" s="15" t="s">
        <v>113</v>
      </c>
      <c r="D11" s="15"/>
    </row>
    <row r="12" customFormat="false" ht="15" hidden="false" customHeight="false" outlineLevel="0" collapsed="false">
      <c r="A12" s="15" t="s">
        <v>2039</v>
      </c>
      <c r="B12" s="15" t="n">
        <v>200</v>
      </c>
      <c r="C12" s="15" t="s">
        <v>113</v>
      </c>
      <c r="D12" s="15"/>
    </row>
    <row r="13" customFormat="false" ht="23.85" hidden="false" customHeight="false" outlineLevel="0" collapsed="false">
      <c r="A13" s="15" t="s">
        <v>2040</v>
      </c>
      <c r="B13" s="15" t="s">
        <v>2041</v>
      </c>
      <c r="C13" s="15" t="s">
        <v>2028</v>
      </c>
      <c r="D13" s="15" t="s">
        <v>2029</v>
      </c>
    </row>
    <row r="14" customFormat="false" ht="35.05" hidden="false" customHeight="false" outlineLevel="0" collapsed="false">
      <c r="A14" s="15" t="s">
        <v>2042</v>
      </c>
      <c r="B14" s="15" t="s">
        <v>2041</v>
      </c>
      <c r="C14" s="15" t="s">
        <v>2028</v>
      </c>
      <c r="D14" s="15" t="s">
        <v>2029</v>
      </c>
    </row>
    <row r="15" customFormat="false" ht="15" hidden="false" customHeight="false" outlineLevel="0" collapsed="false">
      <c r="A15" s="15" t="s">
        <v>2043</v>
      </c>
      <c r="B15" s="15" t="n">
        <v>200</v>
      </c>
      <c r="C15" s="15" t="s">
        <v>113</v>
      </c>
      <c r="D15" s="15"/>
    </row>
    <row r="16" customFormat="false" ht="23.85" hidden="false" customHeight="false" outlineLevel="0" collapsed="false">
      <c r="A16" s="15" t="s">
        <v>2044</v>
      </c>
      <c r="B16" s="15" t="n">
        <v>200</v>
      </c>
      <c r="C16" s="15" t="s">
        <v>113</v>
      </c>
      <c r="D16" s="15"/>
    </row>
    <row r="17" customFormat="false" ht="23.85" hidden="false" customHeight="false" outlineLevel="0" collapsed="false">
      <c r="A17" s="15" t="s">
        <v>2045</v>
      </c>
      <c r="B17" s="15" t="n">
        <v>403</v>
      </c>
      <c r="C17" s="15" t="s">
        <v>2028</v>
      </c>
      <c r="D17" s="15" t="s">
        <v>2029</v>
      </c>
    </row>
    <row r="18" customFormat="false" ht="15" hidden="false" customHeight="false" outlineLevel="0" collapsed="false">
      <c r="A18" s="15" t="s">
        <v>2046</v>
      </c>
      <c r="B18" s="15" t="n">
        <v>200</v>
      </c>
      <c r="C18" s="15" t="s">
        <v>113</v>
      </c>
      <c r="D18" s="15"/>
    </row>
    <row r="19" customFormat="false" ht="15" hidden="false" customHeight="false" outlineLevel="0" collapsed="false">
      <c r="A19" s="15" t="s">
        <v>2047</v>
      </c>
      <c r="B19" s="15" t="n">
        <v>200</v>
      </c>
      <c r="C19" s="15" t="s">
        <v>113</v>
      </c>
      <c r="D19" s="15"/>
    </row>
    <row r="20" customFormat="false" ht="15" hidden="false" customHeight="false" outlineLevel="0" collapsed="false">
      <c r="A20" s="15" t="s">
        <v>2048</v>
      </c>
      <c r="B20" s="15" t="n">
        <v>200</v>
      </c>
      <c r="C20" s="15" t="s">
        <v>113</v>
      </c>
      <c r="D20" s="15"/>
    </row>
    <row r="21" customFormat="false" ht="15" hidden="false" customHeight="false" outlineLevel="0" collapsed="false">
      <c r="A21" s="15" t="s">
        <v>2049</v>
      </c>
      <c r="B21" s="15" t="n">
        <v>200</v>
      </c>
      <c r="C21" s="15" t="s">
        <v>113</v>
      </c>
      <c r="D21" s="15"/>
    </row>
    <row r="22" customFormat="false" ht="15" hidden="false" customHeight="false" outlineLevel="0" collapsed="false">
      <c r="A22" s="15" t="s">
        <v>2050</v>
      </c>
      <c r="B22" s="15" t="n">
        <v>200</v>
      </c>
      <c r="C22" s="15" t="s">
        <v>113</v>
      </c>
      <c r="D22" s="15"/>
    </row>
    <row r="23" customFormat="false" ht="15" hidden="false" customHeight="false" outlineLevel="0" collapsed="false">
      <c r="A23" s="15" t="s">
        <v>2051</v>
      </c>
      <c r="B23" s="15" t="n">
        <v>200</v>
      </c>
      <c r="C23" s="15" t="s">
        <v>113</v>
      </c>
      <c r="D23" s="15"/>
    </row>
    <row r="24" customFormat="false" ht="15" hidden="false" customHeight="false" outlineLevel="0" collapsed="false">
      <c r="A24" s="15" t="s">
        <v>2052</v>
      </c>
      <c r="B24" s="15" t="n">
        <v>200</v>
      </c>
      <c r="C24" s="15" t="s">
        <v>113</v>
      </c>
      <c r="D24" s="15"/>
    </row>
    <row r="25" customFormat="false" ht="15" hidden="false" customHeight="false" outlineLevel="0" collapsed="false">
      <c r="A25" s="15" t="s">
        <v>2053</v>
      </c>
      <c r="B25" s="15" t="n">
        <v>200</v>
      </c>
      <c r="C25" s="15" t="s">
        <v>113</v>
      </c>
      <c r="D25" s="15"/>
    </row>
    <row r="26" customFormat="false" ht="15" hidden="false" customHeight="false" outlineLevel="0" collapsed="false">
      <c r="A26" s="15" t="s">
        <v>2054</v>
      </c>
      <c r="B26" s="15" t="n">
        <v>200</v>
      </c>
      <c r="C26" s="15" t="s">
        <v>113</v>
      </c>
      <c r="D26" s="15"/>
    </row>
    <row r="28" customFormat="false" ht="15" hidden="false" customHeight="false" outlineLevel="0" collapsed="false">
      <c r="A28" s="18" t="s">
        <v>2055</v>
      </c>
    </row>
  </sheetData>
  <conditionalFormatting sqref="C2:C26">
    <cfRule type="cellIs" priority="2" operator="equal" aboveAverage="0" equalAverage="0" bottom="0" percent="0" rank="0" text="" dxfId="4">
      <formula>"Yes"</formula>
    </cfRule>
    <cfRule type="cellIs" priority="3" operator="equal" aboveAverage="0" equalAverage="0" bottom="0" percent="0" rank="0" text="" dxfId="5">
      <formula>"Check by hand"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60"/>
    <col collapsed="false" customWidth="true" hidden="false" outlineLevel="0" max="4" min="4" style="0" width="12"/>
    <col collapsed="false" customWidth="true" hidden="false" outlineLevel="0" max="5" min="5" style="0" width="70"/>
  </cols>
  <sheetData>
    <row r="1" customFormat="false" ht="30" hidden="false" customHeight="true" outlineLevel="0" collapsed="false">
      <c r="A1" s="14" t="s">
        <v>2056</v>
      </c>
      <c r="B1" s="14" t="s">
        <v>2057</v>
      </c>
      <c r="C1" s="14" t="s">
        <v>2058</v>
      </c>
      <c r="D1" s="14" t="s">
        <v>1442</v>
      </c>
      <c r="E1" s="14" t="s">
        <v>1004</v>
      </c>
    </row>
    <row r="2" customFormat="false" ht="15" hidden="false" customHeight="false" outlineLevel="0" collapsed="false">
      <c r="A2" s="15" t="s">
        <v>2059</v>
      </c>
      <c r="B2" s="15" t="s">
        <v>2060</v>
      </c>
      <c r="C2" s="15" t="s">
        <v>2061</v>
      </c>
      <c r="D2" s="15" t="s">
        <v>2062</v>
      </c>
      <c r="E2" s="15" t="s">
        <v>2063</v>
      </c>
    </row>
    <row r="3" customFormat="false" ht="15" hidden="false" customHeight="false" outlineLevel="0" collapsed="false">
      <c r="A3" s="15" t="s">
        <v>2059</v>
      </c>
      <c r="B3" s="15" t="s">
        <v>2064</v>
      </c>
      <c r="C3" s="15" t="s">
        <v>2065</v>
      </c>
      <c r="D3" s="15" t="s">
        <v>2062</v>
      </c>
      <c r="E3" s="15" t="s">
        <v>2066</v>
      </c>
    </row>
    <row r="4" customFormat="false" ht="15" hidden="false" customHeight="false" outlineLevel="0" collapsed="false">
      <c r="A4" s="15" t="s">
        <v>2059</v>
      </c>
      <c r="B4" s="15" t="s">
        <v>2067</v>
      </c>
      <c r="C4" s="15" t="s">
        <v>2068</v>
      </c>
      <c r="D4" s="15" t="s">
        <v>2062</v>
      </c>
      <c r="E4" s="15" t="s">
        <v>2069</v>
      </c>
    </row>
    <row r="5" customFormat="false" ht="15" hidden="false" customHeight="false" outlineLevel="0" collapsed="false">
      <c r="A5" s="15" t="s">
        <v>2070</v>
      </c>
      <c r="B5" s="15" t="s">
        <v>2071</v>
      </c>
      <c r="C5" s="15" t="s">
        <v>2072</v>
      </c>
      <c r="D5" s="15" t="s">
        <v>2062</v>
      </c>
      <c r="E5" s="15" t="s">
        <v>2073</v>
      </c>
    </row>
    <row r="6" customFormat="false" ht="15" hidden="false" customHeight="false" outlineLevel="0" collapsed="false">
      <c r="A6" s="15" t="s">
        <v>2074</v>
      </c>
      <c r="B6" s="15" t="s">
        <v>2075</v>
      </c>
      <c r="C6" s="15" t="s">
        <v>2076</v>
      </c>
      <c r="D6" s="15" t="s">
        <v>2062</v>
      </c>
      <c r="E6" s="15" t="s">
        <v>2077</v>
      </c>
    </row>
    <row r="7" customFormat="false" ht="15" hidden="false" customHeight="false" outlineLevel="0" collapsed="false">
      <c r="A7" s="15" t="s">
        <v>2074</v>
      </c>
      <c r="B7" s="15" t="s">
        <v>2078</v>
      </c>
      <c r="C7" s="15" t="s">
        <v>2079</v>
      </c>
      <c r="D7" s="15" t="s">
        <v>2062</v>
      </c>
      <c r="E7" s="15"/>
    </row>
    <row r="8" customFormat="false" ht="15" hidden="false" customHeight="false" outlineLevel="0" collapsed="false">
      <c r="A8" s="15" t="s">
        <v>2074</v>
      </c>
      <c r="B8" s="15" t="s">
        <v>2080</v>
      </c>
      <c r="C8" s="15" t="s">
        <v>2081</v>
      </c>
      <c r="D8" s="15" t="s">
        <v>2062</v>
      </c>
      <c r="E8" s="15" t="s">
        <v>2082</v>
      </c>
    </row>
    <row r="9" customFormat="false" ht="23.85" hidden="false" customHeight="false" outlineLevel="0" collapsed="false">
      <c r="A9" s="15" t="s">
        <v>2074</v>
      </c>
      <c r="B9" s="15" t="s">
        <v>2083</v>
      </c>
      <c r="C9" s="15" t="s">
        <v>2084</v>
      </c>
      <c r="D9" s="15" t="s">
        <v>2062</v>
      </c>
      <c r="E9" s="15" t="s">
        <v>2085</v>
      </c>
    </row>
    <row r="10" customFormat="false" ht="15" hidden="false" customHeight="false" outlineLevel="0" collapsed="false">
      <c r="A10" s="15" t="s">
        <v>2074</v>
      </c>
      <c r="B10" s="15" t="s">
        <v>2086</v>
      </c>
      <c r="C10" s="15" t="s">
        <v>2087</v>
      </c>
      <c r="D10" s="15" t="s">
        <v>2062</v>
      </c>
      <c r="E10" s="15" t="s">
        <v>2088</v>
      </c>
    </row>
    <row r="11" customFormat="false" ht="15" hidden="false" customHeight="false" outlineLevel="0" collapsed="false">
      <c r="A11" s="15" t="s">
        <v>2089</v>
      </c>
      <c r="B11" s="15" t="s">
        <v>2090</v>
      </c>
      <c r="C11" s="15" t="s">
        <v>2091</v>
      </c>
      <c r="D11" s="15" t="s">
        <v>2062</v>
      </c>
      <c r="E11" s="15" t="s">
        <v>2092</v>
      </c>
    </row>
    <row r="12" customFormat="false" ht="15" hidden="false" customHeight="false" outlineLevel="0" collapsed="false">
      <c r="A12" s="15" t="s">
        <v>2089</v>
      </c>
      <c r="B12" s="15" t="s">
        <v>2093</v>
      </c>
      <c r="C12" s="15" t="s">
        <v>2094</v>
      </c>
      <c r="D12" s="15" t="s">
        <v>2062</v>
      </c>
      <c r="E12" s="15"/>
    </row>
    <row r="13" customFormat="false" ht="15" hidden="false" customHeight="false" outlineLevel="0" collapsed="false">
      <c r="A13" s="15" t="s">
        <v>2089</v>
      </c>
      <c r="B13" s="15" t="s">
        <v>2095</v>
      </c>
      <c r="C13" s="15" t="s">
        <v>2096</v>
      </c>
      <c r="D13" s="15" t="s">
        <v>2062</v>
      </c>
      <c r="E13" s="15" t="s">
        <v>2097</v>
      </c>
    </row>
    <row r="14" customFormat="false" ht="15" hidden="false" customHeight="false" outlineLevel="0" collapsed="false">
      <c r="A14" s="15" t="s">
        <v>36</v>
      </c>
      <c r="B14" s="15" t="s">
        <v>2098</v>
      </c>
      <c r="C14" s="15" t="s">
        <v>2099</v>
      </c>
      <c r="D14" s="15" t="s">
        <v>2062</v>
      </c>
      <c r="E14" s="15" t="s">
        <v>2100</v>
      </c>
    </row>
    <row r="15" customFormat="false" ht="15" hidden="false" customHeight="false" outlineLevel="0" collapsed="false">
      <c r="A15" s="15" t="s">
        <v>36</v>
      </c>
      <c r="B15" s="15" t="s">
        <v>2101</v>
      </c>
      <c r="C15" s="15" t="s">
        <v>2102</v>
      </c>
      <c r="D15" s="15" t="s">
        <v>2103</v>
      </c>
      <c r="E15" s="15" t="s">
        <v>2104</v>
      </c>
    </row>
    <row r="16" customFormat="false" ht="15" hidden="false" customHeight="false" outlineLevel="0" collapsed="false">
      <c r="A16" s="15" t="s">
        <v>2105</v>
      </c>
      <c r="B16" s="15" t="s">
        <v>2106</v>
      </c>
      <c r="C16" s="15" t="s">
        <v>2107</v>
      </c>
      <c r="D16" s="15" t="s">
        <v>2062</v>
      </c>
      <c r="E16" s="15" t="s">
        <v>2108</v>
      </c>
    </row>
    <row r="17" customFormat="false" ht="23.85" hidden="false" customHeight="false" outlineLevel="0" collapsed="false">
      <c r="A17" s="15" t="s">
        <v>2109</v>
      </c>
      <c r="B17" s="15" t="s">
        <v>2110</v>
      </c>
      <c r="C17" s="15" t="s">
        <v>2111</v>
      </c>
      <c r="D17" s="15" t="s">
        <v>2062</v>
      </c>
      <c r="E17" s="15" t="s">
        <v>2112</v>
      </c>
    </row>
    <row r="18" customFormat="false" ht="15" hidden="false" customHeight="false" outlineLevel="0" collapsed="false">
      <c r="A18" s="15" t="s">
        <v>2113</v>
      </c>
      <c r="B18" s="15" t="s">
        <v>2114</v>
      </c>
      <c r="C18" s="15" t="s">
        <v>2115</v>
      </c>
      <c r="D18" s="15" t="s">
        <v>2062</v>
      </c>
      <c r="E18" s="15"/>
    </row>
    <row r="19" customFormat="false" ht="15" hidden="false" customHeight="false" outlineLevel="0" collapsed="false">
      <c r="A19" s="15" t="s">
        <v>2113</v>
      </c>
      <c r="B19" s="15" t="s">
        <v>2116</v>
      </c>
      <c r="C19" s="15" t="s">
        <v>2117</v>
      </c>
      <c r="D19" s="15" t="s">
        <v>2062</v>
      </c>
      <c r="E19" s="15"/>
    </row>
    <row r="20" customFormat="false" ht="15" hidden="false" customHeight="false" outlineLevel="0" collapsed="false">
      <c r="A20" s="15" t="s">
        <v>2113</v>
      </c>
      <c r="B20" s="15" t="s">
        <v>57</v>
      </c>
      <c r="C20" s="15" t="s">
        <v>2118</v>
      </c>
      <c r="D20" s="15" t="s">
        <v>2062</v>
      </c>
      <c r="E20" s="15" t="s">
        <v>2119</v>
      </c>
    </row>
    <row r="21" customFormat="false" ht="15" hidden="false" customHeight="false" outlineLevel="0" collapsed="false">
      <c r="A21" s="15" t="s">
        <v>2113</v>
      </c>
      <c r="B21" s="15" t="s">
        <v>2120</v>
      </c>
      <c r="C21" s="15" t="s">
        <v>2121</v>
      </c>
      <c r="D21" s="15" t="s">
        <v>2062</v>
      </c>
      <c r="E21" s="15"/>
    </row>
    <row r="22" customFormat="false" ht="23.85" hidden="false" customHeight="false" outlineLevel="0" collapsed="false">
      <c r="A22" s="15" t="s">
        <v>2122</v>
      </c>
      <c r="B22" s="15" t="s">
        <v>2123</v>
      </c>
      <c r="C22" s="15" t="s">
        <v>2124</v>
      </c>
      <c r="D22" s="15" t="s">
        <v>2062</v>
      </c>
      <c r="E22" s="15"/>
    </row>
    <row r="23" customFormat="false" ht="23.85" hidden="false" customHeight="false" outlineLevel="0" collapsed="false">
      <c r="A23" s="15" t="s">
        <v>2125</v>
      </c>
      <c r="B23" s="15" t="s">
        <v>2126</v>
      </c>
      <c r="C23" s="15" t="s">
        <v>2127</v>
      </c>
      <c r="D23" s="15" t="s">
        <v>2062</v>
      </c>
      <c r="E23" s="15" t="s">
        <v>2128</v>
      </c>
    </row>
    <row r="24" customFormat="false" ht="15" hidden="false" customHeight="false" outlineLevel="0" collapsed="false">
      <c r="A24" s="15" t="s">
        <v>2129</v>
      </c>
      <c r="B24" s="15" t="s">
        <v>2130</v>
      </c>
      <c r="C24" s="15" t="s">
        <v>2131</v>
      </c>
      <c r="D24" s="15" t="s">
        <v>2062</v>
      </c>
      <c r="E24" s="15" t="s">
        <v>2132</v>
      </c>
    </row>
    <row r="25" customFormat="false" ht="23.85" hidden="false" customHeight="false" outlineLevel="0" collapsed="false">
      <c r="A25" s="15" t="s">
        <v>2133</v>
      </c>
      <c r="B25" s="15" t="s">
        <v>2134</v>
      </c>
      <c r="C25" s="15" t="s">
        <v>2135</v>
      </c>
      <c r="D25" s="15" t="s">
        <v>2136</v>
      </c>
      <c r="E25" s="15" t="s">
        <v>2137</v>
      </c>
    </row>
    <row r="26" customFormat="false" ht="15" hidden="false" customHeight="false" outlineLevel="0" collapsed="false">
      <c r="A26" s="15" t="s">
        <v>2133</v>
      </c>
      <c r="B26" s="15" t="s">
        <v>2138</v>
      </c>
      <c r="C26" s="15" t="s">
        <v>2139</v>
      </c>
      <c r="D26" s="15" t="s">
        <v>2140</v>
      </c>
      <c r="E26" s="15" t="s">
        <v>2141</v>
      </c>
    </row>
  </sheetData>
  <conditionalFormatting sqref="D2:D26">
    <cfRule type="cellIs" priority="2" operator="equal" aboveAverage="0" equalAverage="0" bottom="0" percent="0" rank="0" text="" dxfId="4">
      <formula>"Live"</formula>
    </cfRule>
    <cfRule type="cellIs" priority="3" operator="equal" aboveAverage="0" equalAverage="0" bottom="0" percent="0" rank="0" text="" dxfId="4">
      <formula>"Done"</formula>
    </cfRule>
    <cfRule type="cellIs" priority="4" operator="equal" aboveAverage="0" equalAverage="0" bottom="0" percent="0" rank="0" text="" dxfId="5">
      <formula>"To confirm"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398"/>
    <pageSetUpPr fitToPage="false"/>
  </sheetPr>
  <dimension ref="A1:G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44"/>
    <col collapsed="false" customWidth="true" hidden="false" outlineLevel="0" max="4" min="4" style="0" width="50"/>
    <col collapsed="false" customWidth="true" hidden="false" outlineLevel="0" max="5" min="5" style="0" width="16"/>
    <col collapsed="false" customWidth="true" hidden="false" outlineLevel="0" max="6" min="6" style="0" width="13"/>
    <col collapsed="false" customWidth="true" hidden="false" outlineLevel="0" max="7" min="7" style="0" width="70"/>
  </cols>
  <sheetData>
    <row r="1" customFormat="false" ht="30" hidden="false" customHeight="true" outlineLevel="0" collapsed="false">
      <c r="A1" s="14" t="s">
        <v>2142</v>
      </c>
      <c r="B1" s="14" t="s">
        <v>1440</v>
      </c>
      <c r="C1" s="14" t="s">
        <v>2143</v>
      </c>
      <c r="D1" s="14" t="s">
        <v>2144</v>
      </c>
      <c r="E1" s="14" t="s">
        <v>2145</v>
      </c>
      <c r="F1" s="14" t="s">
        <v>2146</v>
      </c>
      <c r="G1" s="14" t="s">
        <v>2147</v>
      </c>
    </row>
    <row r="2" customFormat="false" ht="23.85" hidden="false" customHeight="false" outlineLevel="0" collapsed="false">
      <c r="A2" s="15" t="s">
        <v>2148</v>
      </c>
      <c r="B2" s="15" t="s">
        <v>2149</v>
      </c>
      <c r="C2" s="15" t="s">
        <v>2150</v>
      </c>
      <c r="D2" s="15" t="s">
        <v>2151</v>
      </c>
      <c r="E2" s="15" t="s">
        <v>2152</v>
      </c>
      <c r="F2" s="15" t="s">
        <v>2153</v>
      </c>
      <c r="G2" s="15" t="s">
        <v>2154</v>
      </c>
    </row>
    <row r="3" customFormat="false" ht="23.85" hidden="false" customHeight="false" outlineLevel="0" collapsed="false">
      <c r="A3" s="15" t="s">
        <v>2148</v>
      </c>
      <c r="B3" s="15" t="s">
        <v>2155</v>
      </c>
      <c r="C3" s="15" t="s">
        <v>2156</v>
      </c>
      <c r="D3" s="15" t="s">
        <v>2157</v>
      </c>
      <c r="E3" s="15" t="s">
        <v>2158</v>
      </c>
      <c r="F3" s="15" t="s">
        <v>2153</v>
      </c>
      <c r="G3" s="15" t="s">
        <v>2154</v>
      </c>
    </row>
    <row r="4" customFormat="false" ht="23.85" hidden="false" customHeight="false" outlineLevel="0" collapsed="false">
      <c r="A4" s="15" t="s">
        <v>2148</v>
      </c>
      <c r="B4" s="15" t="s">
        <v>2159</v>
      </c>
      <c r="C4" s="15" t="s">
        <v>2160</v>
      </c>
      <c r="D4" s="15" t="s">
        <v>2161</v>
      </c>
      <c r="E4" s="15" t="s">
        <v>2152</v>
      </c>
      <c r="F4" s="15" t="s">
        <v>2153</v>
      </c>
      <c r="G4" s="15" t="s">
        <v>2154</v>
      </c>
    </row>
    <row r="5" customFormat="false" ht="23.85" hidden="false" customHeight="false" outlineLevel="0" collapsed="false">
      <c r="A5" s="15" t="s">
        <v>2148</v>
      </c>
      <c r="B5" s="15" t="s">
        <v>2162</v>
      </c>
      <c r="C5" s="15" t="s">
        <v>2163</v>
      </c>
      <c r="D5" s="15" t="s">
        <v>2164</v>
      </c>
      <c r="E5" s="15" t="s">
        <v>2152</v>
      </c>
      <c r="F5" s="15" t="s">
        <v>2153</v>
      </c>
      <c r="G5" s="15" t="s">
        <v>2154</v>
      </c>
    </row>
    <row r="6" customFormat="false" ht="23.85" hidden="false" customHeight="false" outlineLevel="0" collapsed="false">
      <c r="A6" s="15" t="s">
        <v>2148</v>
      </c>
      <c r="B6" s="15" t="s">
        <v>2165</v>
      </c>
      <c r="C6" s="15" t="s">
        <v>2166</v>
      </c>
      <c r="D6" s="15" t="s">
        <v>2167</v>
      </c>
      <c r="E6" s="15" t="s">
        <v>2152</v>
      </c>
      <c r="F6" s="15" t="s">
        <v>2153</v>
      </c>
      <c r="G6" s="15" t="s">
        <v>2154</v>
      </c>
    </row>
    <row r="7" customFormat="false" ht="23.85" hidden="false" customHeight="false" outlineLevel="0" collapsed="false">
      <c r="A7" s="15" t="s">
        <v>2148</v>
      </c>
      <c r="B7" s="15" t="s">
        <v>2168</v>
      </c>
      <c r="C7" s="15" t="s">
        <v>2169</v>
      </c>
      <c r="D7" s="15" t="s">
        <v>2170</v>
      </c>
      <c r="E7" s="15" t="s">
        <v>2171</v>
      </c>
      <c r="F7" s="15" t="s">
        <v>2153</v>
      </c>
      <c r="G7" s="15" t="s">
        <v>2154</v>
      </c>
    </row>
    <row r="8" customFormat="false" ht="23.85" hidden="false" customHeight="false" outlineLevel="0" collapsed="false">
      <c r="A8" s="15" t="s">
        <v>2172</v>
      </c>
      <c r="B8" s="15" t="s">
        <v>2173</v>
      </c>
      <c r="C8" s="15" t="s">
        <v>2174</v>
      </c>
      <c r="D8" s="15" t="s">
        <v>2175</v>
      </c>
      <c r="E8" s="15" t="s">
        <v>2152</v>
      </c>
      <c r="F8" s="15" t="s">
        <v>2153</v>
      </c>
      <c r="G8" s="15" t="s">
        <v>2176</v>
      </c>
    </row>
    <row r="9" customFormat="false" ht="23.85" hidden="false" customHeight="false" outlineLevel="0" collapsed="false">
      <c r="A9" s="15" t="s">
        <v>2172</v>
      </c>
      <c r="B9" s="15" t="s">
        <v>2177</v>
      </c>
      <c r="C9" s="15" t="s">
        <v>2178</v>
      </c>
      <c r="D9" s="15" t="s">
        <v>2179</v>
      </c>
      <c r="E9" s="15" t="s">
        <v>2152</v>
      </c>
      <c r="F9" s="15" t="s">
        <v>2153</v>
      </c>
      <c r="G9" s="15" t="s">
        <v>2176</v>
      </c>
    </row>
    <row r="10" customFormat="false" ht="23.85" hidden="false" customHeight="false" outlineLevel="0" collapsed="false">
      <c r="A10" s="15" t="s">
        <v>2172</v>
      </c>
      <c r="B10" s="15" t="s">
        <v>2180</v>
      </c>
      <c r="C10" s="15" t="s">
        <v>2181</v>
      </c>
      <c r="D10" s="15" t="s">
        <v>2182</v>
      </c>
      <c r="E10" s="15" t="s">
        <v>2171</v>
      </c>
      <c r="F10" s="15" t="s">
        <v>2153</v>
      </c>
      <c r="G10" s="15" t="s">
        <v>2176</v>
      </c>
    </row>
    <row r="11" customFormat="false" ht="23.85" hidden="false" customHeight="false" outlineLevel="0" collapsed="false">
      <c r="A11" s="15" t="s">
        <v>2172</v>
      </c>
      <c r="B11" s="15" t="s">
        <v>2183</v>
      </c>
      <c r="C11" s="15" t="s">
        <v>2184</v>
      </c>
      <c r="D11" s="15" t="s">
        <v>2185</v>
      </c>
      <c r="E11" s="15" t="s">
        <v>2152</v>
      </c>
      <c r="F11" s="15" t="s">
        <v>2153</v>
      </c>
      <c r="G11" s="15" t="s">
        <v>2176</v>
      </c>
    </row>
    <row r="12" customFormat="false" ht="23.85" hidden="false" customHeight="false" outlineLevel="0" collapsed="false">
      <c r="A12" s="15" t="s">
        <v>2172</v>
      </c>
      <c r="B12" s="15" t="s">
        <v>2186</v>
      </c>
      <c r="C12" s="15" t="s">
        <v>2187</v>
      </c>
      <c r="D12" s="15" t="s">
        <v>2188</v>
      </c>
      <c r="E12" s="15" t="s">
        <v>2171</v>
      </c>
      <c r="F12" s="15" t="s">
        <v>2153</v>
      </c>
      <c r="G12" s="15" t="s">
        <v>2176</v>
      </c>
    </row>
    <row r="13" customFormat="false" ht="23.85" hidden="false" customHeight="false" outlineLevel="0" collapsed="false">
      <c r="A13" s="15" t="s">
        <v>2172</v>
      </c>
      <c r="B13" s="15" t="s">
        <v>2189</v>
      </c>
      <c r="C13" s="15" t="s">
        <v>2190</v>
      </c>
      <c r="D13" s="15" t="s">
        <v>2191</v>
      </c>
      <c r="E13" s="15" t="s">
        <v>2152</v>
      </c>
      <c r="F13" s="15" t="s">
        <v>2153</v>
      </c>
      <c r="G13" s="15" t="s">
        <v>2176</v>
      </c>
    </row>
    <row r="14" customFormat="false" ht="23.85" hidden="false" customHeight="false" outlineLevel="0" collapsed="false">
      <c r="A14" s="15" t="s">
        <v>2172</v>
      </c>
      <c r="B14" s="15" t="s">
        <v>2192</v>
      </c>
      <c r="C14" s="15" t="s">
        <v>2193</v>
      </c>
      <c r="D14" s="15" t="s">
        <v>2194</v>
      </c>
      <c r="E14" s="15" t="s">
        <v>2152</v>
      </c>
      <c r="F14" s="15" t="s">
        <v>2153</v>
      </c>
      <c r="G14" s="15" t="s">
        <v>2176</v>
      </c>
    </row>
    <row r="15" customFormat="false" ht="23.85" hidden="false" customHeight="false" outlineLevel="0" collapsed="false">
      <c r="A15" s="15" t="s">
        <v>2172</v>
      </c>
      <c r="B15" s="15" t="s">
        <v>2195</v>
      </c>
      <c r="C15" s="15" t="s">
        <v>2196</v>
      </c>
      <c r="D15" s="15" t="s">
        <v>2197</v>
      </c>
      <c r="E15" s="15" t="s">
        <v>2171</v>
      </c>
      <c r="F15" s="15" t="s">
        <v>2153</v>
      </c>
      <c r="G15" s="15" t="s">
        <v>2176</v>
      </c>
    </row>
    <row r="16" customFormat="false" ht="35.05" hidden="false" customHeight="false" outlineLevel="0" collapsed="false">
      <c r="A16" s="15" t="s">
        <v>2198</v>
      </c>
      <c r="B16" s="15" t="s">
        <v>2199</v>
      </c>
      <c r="C16" s="15" t="s">
        <v>2200</v>
      </c>
      <c r="D16" s="15" t="s">
        <v>2201</v>
      </c>
      <c r="E16" s="15" t="s">
        <v>2152</v>
      </c>
      <c r="F16" s="15" t="s">
        <v>2153</v>
      </c>
      <c r="G16" s="15" t="s">
        <v>2202</v>
      </c>
    </row>
    <row r="17" customFormat="false" ht="35.05" hidden="false" customHeight="false" outlineLevel="0" collapsed="false">
      <c r="A17" s="15" t="s">
        <v>2198</v>
      </c>
      <c r="B17" s="15" t="s">
        <v>2203</v>
      </c>
      <c r="C17" s="15" t="s">
        <v>2204</v>
      </c>
      <c r="D17" s="15" t="s">
        <v>2205</v>
      </c>
      <c r="E17" s="15" t="s">
        <v>2152</v>
      </c>
      <c r="F17" s="15" t="s">
        <v>2153</v>
      </c>
      <c r="G17" s="15" t="s">
        <v>2202</v>
      </c>
    </row>
    <row r="18" customFormat="false" ht="35.05" hidden="false" customHeight="false" outlineLevel="0" collapsed="false">
      <c r="A18" s="15" t="s">
        <v>2198</v>
      </c>
      <c r="B18" s="15" t="s">
        <v>2206</v>
      </c>
      <c r="C18" s="15" t="s">
        <v>2207</v>
      </c>
      <c r="D18" s="15" t="s">
        <v>2208</v>
      </c>
      <c r="E18" s="15" t="s">
        <v>2171</v>
      </c>
      <c r="F18" s="15" t="s">
        <v>2153</v>
      </c>
      <c r="G18" s="15" t="s">
        <v>2202</v>
      </c>
    </row>
    <row r="19" customFormat="false" ht="35.05" hidden="false" customHeight="false" outlineLevel="0" collapsed="false">
      <c r="A19" s="15" t="s">
        <v>2198</v>
      </c>
      <c r="B19" s="15" t="s">
        <v>2209</v>
      </c>
      <c r="C19" s="15" t="s">
        <v>2210</v>
      </c>
      <c r="D19" s="15" t="s">
        <v>2211</v>
      </c>
      <c r="E19" s="15" t="s">
        <v>2171</v>
      </c>
      <c r="F19" s="15" t="s">
        <v>2153</v>
      </c>
      <c r="G19" s="15" t="s">
        <v>2202</v>
      </c>
    </row>
    <row r="20" customFormat="false" ht="35.05" hidden="false" customHeight="false" outlineLevel="0" collapsed="false">
      <c r="A20" s="15" t="s">
        <v>2198</v>
      </c>
      <c r="B20" s="15" t="s">
        <v>2212</v>
      </c>
      <c r="C20" s="15" t="s">
        <v>2213</v>
      </c>
      <c r="D20" s="15" t="s">
        <v>2214</v>
      </c>
      <c r="E20" s="15" t="s">
        <v>2215</v>
      </c>
      <c r="F20" s="15" t="s">
        <v>2153</v>
      </c>
      <c r="G20" s="15" t="s">
        <v>2202</v>
      </c>
    </row>
    <row r="21" customFormat="false" ht="35.05" hidden="false" customHeight="false" outlineLevel="0" collapsed="false">
      <c r="A21" s="15" t="s">
        <v>2198</v>
      </c>
      <c r="B21" s="15" t="s">
        <v>2216</v>
      </c>
      <c r="C21" s="15" t="s">
        <v>2217</v>
      </c>
      <c r="D21" s="15" t="s">
        <v>2218</v>
      </c>
      <c r="E21" s="15" t="s">
        <v>2152</v>
      </c>
      <c r="F21" s="15" t="s">
        <v>2153</v>
      </c>
      <c r="G21" s="15" t="s">
        <v>2202</v>
      </c>
    </row>
    <row r="22" customFormat="false" ht="35.05" hidden="false" customHeight="false" outlineLevel="0" collapsed="false">
      <c r="A22" s="15" t="s">
        <v>2198</v>
      </c>
      <c r="B22" s="15" t="s">
        <v>2219</v>
      </c>
      <c r="C22" s="15" t="s">
        <v>2220</v>
      </c>
      <c r="D22" s="15" t="s">
        <v>2221</v>
      </c>
      <c r="E22" s="15" t="s">
        <v>2152</v>
      </c>
      <c r="F22" s="15" t="s">
        <v>2153</v>
      </c>
      <c r="G22" s="15" t="s">
        <v>2202</v>
      </c>
    </row>
    <row r="23" customFormat="false" ht="35.05" hidden="false" customHeight="false" outlineLevel="0" collapsed="false">
      <c r="A23" s="15" t="s">
        <v>2198</v>
      </c>
      <c r="B23" s="15" t="s">
        <v>2222</v>
      </c>
      <c r="C23" s="15" t="s">
        <v>2223</v>
      </c>
      <c r="D23" s="15" t="s">
        <v>2224</v>
      </c>
      <c r="E23" s="15" t="s">
        <v>2158</v>
      </c>
      <c r="F23" s="15" t="s">
        <v>2153</v>
      </c>
      <c r="G23" s="15" t="s">
        <v>2202</v>
      </c>
    </row>
    <row r="24" customFormat="false" ht="35.05" hidden="false" customHeight="false" outlineLevel="0" collapsed="false">
      <c r="A24" s="15" t="s">
        <v>2198</v>
      </c>
      <c r="B24" s="15" t="s">
        <v>2225</v>
      </c>
      <c r="C24" s="15" t="s">
        <v>2226</v>
      </c>
      <c r="D24" s="15" t="s">
        <v>2227</v>
      </c>
      <c r="E24" s="15" t="s">
        <v>2215</v>
      </c>
      <c r="F24" s="15" t="s">
        <v>2153</v>
      </c>
      <c r="G24" s="15" t="s">
        <v>2202</v>
      </c>
    </row>
    <row r="25" customFormat="false" ht="35.05" hidden="false" customHeight="false" outlineLevel="0" collapsed="false">
      <c r="A25" s="15" t="s">
        <v>2198</v>
      </c>
      <c r="B25" s="15" t="s">
        <v>2228</v>
      </c>
      <c r="C25" s="15" t="s">
        <v>2229</v>
      </c>
      <c r="D25" s="15" t="s">
        <v>2230</v>
      </c>
      <c r="E25" s="15" t="s">
        <v>2158</v>
      </c>
      <c r="F25" s="15" t="s">
        <v>2153</v>
      </c>
      <c r="G25" s="15" t="s">
        <v>2202</v>
      </c>
    </row>
    <row r="26" customFormat="false" ht="35.05" hidden="false" customHeight="false" outlineLevel="0" collapsed="false">
      <c r="A26" s="15" t="s">
        <v>2198</v>
      </c>
      <c r="B26" s="15" t="s">
        <v>2231</v>
      </c>
      <c r="C26" s="15" t="s">
        <v>2232</v>
      </c>
      <c r="D26" s="15" t="s">
        <v>2233</v>
      </c>
      <c r="E26" s="15" t="s">
        <v>2171</v>
      </c>
      <c r="F26" s="15" t="s">
        <v>2153</v>
      </c>
      <c r="G26" s="15" t="s">
        <v>2202</v>
      </c>
    </row>
    <row r="27" customFormat="false" ht="23.85" hidden="false" customHeight="false" outlineLevel="0" collapsed="false">
      <c r="A27" s="15" t="s">
        <v>2234</v>
      </c>
      <c r="B27" s="15" t="s">
        <v>2235</v>
      </c>
      <c r="C27" s="15" t="s">
        <v>2236</v>
      </c>
      <c r="D27" s="15" t="s">
        <v>2237</v>
      </c>
      <c r="E27" s="15" t="s">
        <v>2215</v>
      </c>
      <c r="F27" s="15" t="s">
        <v>2153</v>
      </c>
      <c r="G27" s="15" t="s">
        <v>2238</v>
      </c>
    </row>
    <row r="28" customFormat="false" ht="23.85" hidden="false" customHeight="false" outlineLevel="0" collapsed="false">
      <c r="A28" s="15" t="s">
        <v>2234</v>
      </c>
      <c r="B28" s="15" t="s">
        <v>2239</v>
      </c>
      <c r="C28" s="15" t="s">
        <v>2240</v>
      </c>
      <c r="D28" s="15" t="s">
        <v>2241</v>
      </c>
      <c r="E28" s="15" t="s">
        <v>2171</v>
      </c>
      <c r="F28" s="15" t="s">
        <v>2153</v>
      </c>
      <c r="G28" s="15" t="s">
        <v>2238</v>
      </c>
    </row>
    <row r="29" customFormat="false" ht="23.85" hidden="false" customHeight="false" outlineLevel="0" collapsed="false">
      <c r="A29" s="15" t="s">
        <v>2234</v>
      </c>
      <c r="B29" s="15" t="s">
        <v>2242</v>
      </c>
      <c r="C29" s="15" t="s">
        <v>2243</v>
      </c>
      <c r="D29" s="15" t="s">
        <v>2244</v>
      </c>
      <c r="E29" s="15" t="s">
        <v>2215</v>
      </c>
      <c r="F29" s="15" t="s">
        <v>2153</v>
      </c>
      <c r="G29" s="15" t="s">
        <v>2238</v>
      </c>
    </row>
    <row r="30" customFormat="false" ht="23.85" hidden="false" customHeight="false" outlineLevel="0" collapsed="false">
      <c r="A30" s="15" t="s">
        <v>2234</v>
      </c>
      <c r="B30" s="15" t="s">
        <v>2245</v>
      </c>
      <c r="C30" s="15" t="s">
        <v>2246</v>
      </c>
      <c r="D30" s="15" t="s">
        <v>2247</v>
      </c>
      <c r="E30" s="15" t="s">
        <v>2215</v>
      </c>
      <c r="F30" s="15" t="s">
        <v>2153</v>
      </c>
      <c r="G30" s="15" t="s">
        <v>2238</v>
      </c>
    </row>
    <row r="31" customFormat="false" ht="23.85" hidden="false" customHeight="false" outlineLevel="0" collapsed="false">
      <c r="A31" s="15" t="s">
        <v>2234</v>
      </c>
      <c r="B31" s="15" t="s">
        <v>2248</v>
      </c>
      <c r="C31" s="15" t="s">
        <v>2249</v>
      </c>
      <c r="D31" s="15" t="s">
        <v>2250</v>
      </c>
      <c r="E31" s="15" t="s">
        <v>2215</v>
      </c>
      <c r="F31" s="15" t="s">
        <v>2153</v>
      </c>
      <c r="G31" s="15" t="s">
        <v>2238</v>
      </c>
    </row>
    <row r="32" customFormat="false" ht="23.85" hidden="false" customHeight="false" outlineLevel="0" collapsed="false">
      <c r="A32" s="15" t="s">
        <v>2234</v>
      </c>
      <c r="B32" s="15" t="s">
        <v>2251</v>
      </c>
      <c r="C32" s="15" t="s">
        <v>2252</v>
      </c>
      <c r="D32" s="15" t="s">
        <v>2253</v>
      </c>
      <c r="E32" s="15" t="s">
        <v>2215</v>
      </c>
      <c r="F32" s="15" t="s">
        <v>2153</v>
      </c>
      <c r="G32" s="15" t="s">
        <v>2238</v>
      </c>
    </row>
    <row r="33" customFormat="false" ht="23.85" hidden="false" customHeight="false" outlineLevel="0" collapsed="false">
      <c r="A33" s="15" t="s">
        <v>2234</v>
      </c>
      <c r="B33" s="15" t="s">
        <v>2254</v>
      </c>
      <c r="C33" s="15" t="s">
        <v>2255</v>
      </c>
      <c r="D33" s="15" t="s">
        <v>2256</v>
      </c>
      <c r="E33" s="15" t="s">
        <v>2257</v>
      </c>
      <c r="F33" s="15" t="s">
        <v>2153</v>
      </c>
      <c r="G33" s="15" t="s">
        <v>2238</v>
      </c>
    </row>
    <row r="34" customFormat="false" ht="35.05" hidden="false" customHeight="false" outlineLevel="0" collapsed="false">
      <c r="A34" s="15" t="s">
        <v>2258</v>
      </c>
      <c r="B34" s="15" t="s">
        <v>2259</v>
      </c>
      <c r="C34" s="15" t="s">
        <v>2260</v>
      </c>
      <c r="D34" s="15" t="s">
        <v>2261</v>
      </c>
      <c r="E34" s="15" t="s">
        <v>2152</v>
      </c>
      <c r="F34" s="15" t="s">
        <v>2153</v>
      </c>
      <c r="G34" s="15" t="s">
        <v>2262</v>
      </c>
    </row>
    <row r="35" customFormat="false" ht="35.05" hidden="false" customHeight="false" outlineLevel="0" collapsed="false">
      <c r="A35" s="15" t="s">
        <v>2258</v>
      </c>
      <c r="B35" s="15" t="s">
        <v>2263</v>
      </c>
      <c r="C35" s="15" t="s">
        <v>2264</v>
      </c>
      <c r="D35" s="15" t="s">
        <v>2265</v>
      </c>
      <c r="E35" s="15" t="s">
        <v>2152</v>
      </c>
      <c r="F35" s="15" t="s">
        <v>2153</v>
      </c>
      <c r="G35" s="15" t="s">
        <v>2262</v>
      </c>
    </row>
    <row r="36" customFormat="false" ht="35.05" hidden="false" customHeight="false" outlineLevel="0" collapsed="false">
      <c r="A36" s="15" t="s">
        <v>2258</v>
      </c>
      <c r="B36" s="15" t="s">
        <v>2266</v>
      </c>
      <c r="C36" s="15" t="s">
        <v>2267</v>
      </c>
      <c r="D36" s="15" t="s">
        <v>2268</v>
      </c>
      <c r="E36" s="15" t="s">
        <v>2152</v>
      </c>
      <c r="F36" s="15" t="s">
        <v>2153</v>
      </c>
      <c r="G36" s="15" t="s">
        <v>2262</v>
      </c>
    </row>
    <row r="37" customFormat="false" ht="35.05" hidden="false" customHeight="false" outlineLevel="0" collapsed="false">
      <c r="A37" s="15" t="s">
        <v>2258</v>
      </c>
      <c r="B37" s="15" t="s">
        <v>2269</v>
      </c>
      <c r="C37" s="15" t="s">
        <v>2270</v>
      </c>
      <c r="D37" s="15" t="s">
        <v>2271</v>
      </c>
      <c r="E37" s="15" t="s">
        <v>2152</v>
      </c>
      <c r="F37" s="15" t="s">
        <v>2153</v>
      </c>
      <c r="G37" s="15" t="s">
        <v>2262</v>
      </c>
    </row>
    <row r="38" customFormat="false" ht="35.05" hidden="false" customHeight="false" outlineLevel="0" collapsed="false">
      <c r="A38" s="15" t="s">
        <v>2258</v>
      </c>
      <c r="B38" s="15" t="s">
        <v>2272</v>
      </c>
      <c r="C38" s="15" t="s">
        <v>2273</v>
      </c>
      <c r="D38" s="15" t="s">
        <v>2274</v>
      </c>
      <c r="E38" s="15" t="s">
        <v>2152</v>
      </c>
      <c r="F38" s="15" t="s">
        <v>2153</v>
      </c>
      <c r="G38" s="15" t="s">
        <v>2262</v>
      </c>
    </row>
    <row r="39" customFormat="false" ht="35.05" hidden="false" customHeight="false" outlineLevel="0" collapsed="false">
      <c r="A39" s="15" t="s">
        <v>2258</v>
      </c>
      <c r="B39" s="15" t="s">
        <v>2275</v>
      </c>
      <c r="C39" s="15" t="s">
        <v>2276</v>
      </c>
      <c r="D39" s="15" t="s">
        <v>2277</v>
      </c>
      <c r="E39" s="15" t="s">
        <v>2152</v>
      </c>
      <c r="F39" s="15" t="s">
        <v>2153</v>
      </c>
      <c r="G39" s="15" t="s">
        <v>2262</v>
      </c>
    </row>
    <row r="40" customFormat="false" ht="35.05" hidden="false" customHeight="false" outlineLevel="0" collapsed="false">
      <c r="A40" s="15" t="s">
        <v>2258</v>
      </c>
      <c r="B40" s="15" t="s">
        <v>2278</v>
      </c>
      <c r="C40" s="15" t="s">
        <v>2279</v>
      </c>
      <c r="D40" s="15" t="s">
        <v>2280</v>
      </c>
      <c r="E40" s="15" t="s">
        <v>2152</v>
      </c>
      <c r="F40" s="15" t="s">
        <v>2153</v>
      </c>
      <c r="G40" s="15" t="s">
        <v>2262</v>
      </c>
    </row>
    <row r="41" customFormat="false" ht="35.05" hidden="false" customHeight="false" outlineLevel="0" collapsed="false">
      <c r="A41" s="15" t="s">
        <v>2258</v>
      </c>
      <c r="B41" s="15" t="s">
        <v>2281</v>
      </c>
      <c r="C41" s="15" t="s">
        <v>2282</v>
      </c>
      <c r="D41" s="15" t="s">
        <v>2283</v>
      </c>
      <c r="E41" s="15" t="s">
        <v>2152</v>
      </c>
      <c r="F41" s="15" t="s">
        <v>2153</v>
      </c>
      <c r="G41" s="15" t="s">
        <v>2262</v>
      </c>
    </row>
    <row r="42" customFormat="false" ht="35.05" hidden="false" customHeight="false" outlineLevel="0" collapsed="false">
      <c r="A42" s="15" t="s">
        <v>2258</v>
      </c>
      <c r="B42" s="15" t="s">
        <v>2284</v>
      </c>
      <c r="C42" s="15" t="s">
        <v>2285</v>
      </c>
      <c r="D42" s="15" t="s">
        <v>2286</v>
      </c>
      <c r="E42" s="15" t="s">
        <v>2152</v>
      </c>
      <c r="F42" s="15" t="s">
        <v>2153</v>
      </c>
      <c r="G42" s="15" t="s">
        <v>2262</v>
      </c>
    </row>
    <row r="43" customFormat="false" ht="35.05" hidden="false" customHeight="false" outlineLevel="0" collapsed="false">
      <c r="A43" s="15" t="s">
        <v>2258</v>
      </c>
      <c r="B43" s="15" t="s">
        <v>2287</v>
      </c>
      <c r="C43" s="15" t="s">
        <v>2288</v>
      </c>
      <c r="D43" s="15" t="s">
        <v>2289</v>
      </c>
      <c r="E43" s="15" t="s">
        <v>2152</v>
      </c>
      <c r="F43" s="15" t="s">
        <v>2153</v>
      </c>
      <c r="G43" s="15" t="s">
        <v>2262</v>
      </c>
    </row>
    <row r="44" customFormat="false" ht="35.05" hidden="false" customHeight="false" outlineLevel="0" collapsed="false">
      <c r="A44" s="15" t="s">
        <v>2258</v>
      </c>
      <c r="B44" s="15" t="s">
        <v>2290</v>
      </c>
      <c r="C44" s="15" t="s">
        <v>2291</v>
      </c>
      <c r="D44" s="15" t="s">
        <v>2292</v>
      </c>
      <c r="E44" s="15" t="s">
        <v>2152</v>
      </c>
      <c r="F44" s="15" t="s">
        <v>2153</v>
      </c>
      <c r="G44" s="15" t="s">
        <v>2262</v>
      </c>
    </row>
    <row r="45" customFormat="false" ht="35.05" hidden="false" customHeight="false" outlineLevel="0" collapsed="false">
      <c r="A45" s="15" t="s">
        <v>2258</v>
      </c>
      <c r="B45" s="15" t="s">
        <v>2293</v>
      </c>
      <c r="C45" s="15" t="s">
        <v>2294</v>
      </c>
      <c r="D45" s="15" t="s">
        <v>2295</v>
      </c>
      <c r="E45" s="15" t="s">
        <v>2152</v>
      </c>
      <c r="F45" s="15" t="s">
        <v>2153</v>
      </c>
      <c r="G45" s="15" t="s">
        <v>2262</v>
      </c>
    </row>
    <row r="46" customFormat="false" ht="35.05" hidden="false" customHeight="false" outlineLevel="0" collapsed="false">
      <c r="A46" s="15" t="s">
        <v>2258</v>
      </c>
      <c r="B46" s="15" t="s">
        <v>2296</v>
      </c>
      <c r="C46" s="15" t="s">
        <v>2297</v>
      </c>
      <c r="D46" s="15" t="s">
        <v>2298</v>
      </c>
      <c r="E46" s="15" t="s">
        <v>2152</v>
      </c>
      <c r="F46" s="15" t="s">
        <v>2153</v>
      </c>
      <c r="G46" s="15" t="s">
        <v>2262</v>
      </c>
    </row>
    <row r="47" customFormat="false" ht="35.05" hidden="false" customHeight="false" outlineLevel="0" collapsed="false">
      <c r="A47" s="15" t="s">
        <v>2258</v>
      </c>
      <c r="B47" s="15" t="s">
        <v>2299</v>
      </c>
      <c r="C47" s="15" t="s">
        <v>2109</v>
      </c>
      <c r="D47" s="15" t="s">
        <v>2300</v>
      </c>
      <c r="E47" s="15" t="s">
        <v>2152</v>
      </c>
      <c r="F47" s="15" t="s">
        <v>2153</v>
      </c>
      <c r="G47" s="15" t="s">
        <v>2262</v>
      </c>
    </row>
    <row r="48" customFormat="false" ht="23.85" hidden="false" customHeight="false" outlineLevel="0" collapsed="false">
      <c r="A48" s="15" t="s">
        <v>2301</v>
      </c>
      <c r="B48" s="15" t="s">
        <v>2302</v>
      </c>
      <c r="C48" s="15" t="s">
        <v>2303</v>
      </c>
      <c r="D48" s="15" t="s">
        <v>2304</v>
      </c>
      <c r="E48" s="15" t="s">
        <v>2171</v>
      </c>
      <c r="F48" s="15" t="s">
        <v>2153</v>
      </c>
      <c r="G48" s="15" t="s">
        <v>2305</v>
      </c>
    </row>
    <row r="49" customFormat="false" ht="23.85" hidden="false" customHeight="false" outlineLevel="0" collapsed="false">
      <c r="A49" s="15" t="s">
        <v>2301</v>
      </c>
      <c r="B49" s="15" t="s">
        <v>2306</v>
      </c>
      <c r="C49" s="15" t="s">
        <v>2307</v>
      </c>
      <c r="D49" s="15" t="s">
        <v>2304</v>
      </c>
      <c r="E49" s="15" t="s">
        <v>2171</v>
      </c>
      <c r="F49" s="15" t="s">
        <v>2153</v>
      </c>
      <c r="G49" s="15" t="s">
        <v>2305</v>
      </c>
    </row>
    <row r="50" customFormat="false" ht="23.85" hidden="false" customHeight="false" outlineLevel="0" collapsed="false">
      <c r="A50" s="15" t="s">
        <v>2301</v>
      </c>
      <c r="B50" s="15" t="s">
        <v>2308</v>
      </c>
      <c r="C50" s="15" t="s">
        <v>2309</v>
      </c>
      <c r="D50" s="15" t="s">
        <v>2304</v>
      </c>
      <c r="E50" s="15" t="s">
        <v>2171</v>
      </c>
      <c r="F50" s="15" t="s">
        <v>2153</v>
      </c>
      <c r="G50" s="15" t="s">
        <v>2305</v>
      </c>
    </row>
    <row r="51" customFormat="false" ht="23.85" hidden="false" customHeight="false" outlineLevel="0" collapsed="false">
      <c r="A51" s="15" t="s">
        <v>2301</v>
      </c>
      <c r="B51" s="15" t="s">
        <v>2310</v>
      </c>
      <c r="C51" s="15" t="s">
        <v>2311</v>
      </c>
      <c r="D51" s="15" t="s">
        <v>2304</v>
      </c>
      <c r="E51" s="15" t="s">
        <v>2171</v>
      </c>
      <c r="F51" s="15" t="s">
        <v>2153</v>
      </c>
      <c r="G51" s="15" t="s">
        <v>2305</v>
      </c>
    </row>
    <row r="52" customFormat="false" ht="23.85" hidden="false" customHeight="false" outlineLevel="0" collapsed="false">
      <c r="A52" s="15" t="s">
        <v>2301</v>
      </c>
      <c r="B52" s="15" t="s">
        <v>2312</v>
      </c>
      <c r="C52" s="15" t="s">
        <v>2313</v>
      </c>
      <c r="D52" s="15" t="s">
        <v>2304</v>
      </c>
      <c r="E52" s="15" t="s">
        <v>2171</v>
      </c>
      <c r="F52" s="15" t="s">
        <v>2153</v>
      </c>
      <c r="G52" s="15" t="s">
        <v>2305</v>
      </c>
    </row>
    <row r="53" customFormat="false" ht="23.85" hidden="false" customHeight="false" outlineLevel="0" collapsed="false">
      <c r="A53" s="15" t="s">
        <v>2301</v>
      </c>
      <c r="B53" s="15" t="s">
        <v>2314</v>
      </c>
      <c r="C53" s="15" t="s">
        <v>2315</v>
      </c>
      <c r="D53" s="15" t="s">
        <v>2304</v>
      </c>
      <c r="E53" s="15" t="s">
        <v>2171</v>
      </c>
      <c r="F53" s="15" t="s">
        <v>2153</v>
      </c>
      <c r="G53" s="15" t="s">
        <v>2305</v>
      </c>
    </row>
    <row r="54" customFormat="false" ht="23.85" hidden="false" customHeight="false" outlineLevel="0" collapsed="false">
      <c r="A54" s="15" t="s">
        <v>2301</v>
      </c>
      <c r="B54" s="15" t="s">
        <v>2316</v>
      </c>
      <c r="C54" s="15" t="s">
        <v>2317</v>
      </c>
      <c r="D54" s="15" t="s">
        <v>2304</v>
      </c>
      <c r="E54" s="15" t="s">
        <v>2171</v>
      </c>
      <c r="F54" s="15" t="s">
        <v>2153</v>
      </c>
      <c r="G54" s="15" t="s">
        <v>2305</v>
      </c>
    </row>
    <row r="55" customFormat="false" ht="23.85" hidden="false" customHeight="false" outlineLevel="0" collapsed="false">
      <c r="A55" s="15" t="s">
        <v>2301</v>
      </c>
      <c r="B55" s="15" t="s">
        <v>2318</v>
      </c>
      <c r="C55" s="15" t="s">
        <v>2319</v>
      </c>
      <c r="D55" s="15" t="s">
        <v>2304</v>
      </c>
      <c r="E55" s="15" t="s">
        <v>2171</v>
      </c>
      <c r="F55" s="15" t="s">
        <v>2153</v>
      </c>
      <c r="G55" s="15" t="s">
        <v>2305</v>
      </c>
    </row>
    <row r="56" customFormat="false" ht="23.85" hidden="false" customHeight="false" outlineLevel="0" collapsed="false">
      <c r="A56" s="15" t="s">
        <v>2301</v>
      </c>
      <c r="B56" s="15" t="s">
        <v>2320</v>
      </c>
      <c r="C56" s="15" t="s">
        <v>2321</v>
      </c>
      <c r="D56" s="15" t="s">
        <v>2304</v>
      </c>
      <c r="E56" s="15" t="s">
        <v>2171</v>
      </c>
      <c r="F56" s="15" t="s">
        <v>2153</v>
      </c>
      <c r="G56" s="15" t="s">
        <v>2305</v>
      </c>
    </row>
    <row r="57" customFormat="false" ht="23.85" hidden="false" customHeight="false" outlineLevel="0" collapsed="false">
      <c r="A57" s="15" t="s">
        <v>2301</v>
      </c>
      <c r="B57" s="15" t="s">
        <v>2322</v>
      </c>
      <c r="C57" s="15" t="s">
        <v>2323</v>
      </c>
      <c r="D57" s="15" t="s">
        <v>2304</v>
      </c>
      <c r="E57" s="15" t="s">
        <v>2171</v>
      </c>
      <c r="F57" s="15" t="s">
        <v>2153</v>
      </c>
      <c r="G57" s="15" t="s">
        <v>2305</v>
      </c>
    </row>
    <row r="58" customFormat="false" ht="35.05" hidden="false" customHeight="false" outlineLevel="0" collapsed="false">
      <c r="A58" s="15" t="s">
        <v>2324</v>
      </c>
      <c r="B58" s="15" t="s">
        <v>2325</v>
      </c>
      <c r="C58" s="15" t="s">
        <v>2326</v>
      </c>
      <c r="D58" s="15" t="s">
        <v>2327</v>
      </c>
      <c r="E58" s="15" t="s">
        <v>2152</v>
      </c>
      <c r="F58" s="15" t="s">
        <v>1460</v>
      </c>
      <c r="G58" s="15" t="s">
        <v>2328</v>
      </c>
    </row>
    <row r="59" customFormat="false" ht="35.05" hidden="false" customHeight="false" outlineLevel="0" collapsed="false">
      <c r="A59" s="15" t="s">
        <v>2324</v>
      </c>
      <c r="B59" s="15" t="s">
        <v>2329</v>
      </c>
      <c r="C59" s="15" t="s">
        <v>2330</v>
      </c>
      <c r="D59" s="15" t="s">
        <v>2331</v>
      </c>
      <c r="E59" s="15" t="s">
        <v>2152</v>
      </c>
      <c r="F59" s="15" t="s">
        <v>1460</v>
      </c>
      <c r="G59" s="15" t="s">
        <v>2328</v>
      </c>
    </row>
    <row r="60" customFormat="false" ht="35.05" hidden="false" customHeight="false" outlineLevel="0" collapsed="false">
      <c r="A60" s="15" t="s">
        <v>2324</v>
      </c>
      <c r="B60" s="15" t="s">
        <v>2332</v>
      </c>
      <c r="C60" s="15" t="s">
        <v>2333</v>
      </c>
      <c r="D60" s="15" t="s">
        <v>2334</v>
      </c>
      <c r="E60" s="15" t="s">
        <v>2152</v>
      </c>
      <c r="F60" s="15" t="s">
        <v>1460</v>
      </c>
      <c r="G60" s="15" t="s">
        <v>2328</v>
      </c>
    </row>
    <row r="61" customFormat="false" ht="35.05" hidden="false" customHeight="false" outlineLevel="0" collapsed="false">
      <c r="A61" s="15" t="s">
        <v>2324</v>
      </c>
      <c r="B61" s="15" t="s">
        <v>2335</v>
      </c>
      <c r="C61" s="15" t="s">
        <v>2336</v>
      </c>
      <c r="D61" s="15" t="s">
        <v>2337</v>
      </c>
      <c r="E61" s="15" t="s">
        <v>2152</v>
      </c>
      <c r="F61" s="15" t="s">
        <v>1460</v>
      </c>
      <c r="G61" s="15" t="s">
        <v>2328</v>
      </c>
    </row>
    <row r="62" customFormat="false" ht="35.05" hidden="false" customHeight="false" outlineLevel="0" collapsed="false">
      <c r="A62" s="15" t="s">
        <v>2324</v>
      </c>
      <c r="B62" s="15" t="s">
        <v>2338</v>
      </c>
      <c r="C62" s="15" t="s">
        <v>2339</v>
      </c>
      <c r="D62" s="15" t="s">
        <v>2340</v>
      </c>
      <c r="E62" s="15" t="s">
        <v>2152</v>
      </c>
      <c r="F62" s="15" t="s">
        <v>1460</v>
      </c>
      <c r="G62" s="15" t="s">
        <v>2328</v>
      </c>
    </row>
    <row r="63" customFormat="false" ht="35.05" hidden="false" customHeight="false" outlineLevel="0" collapsed="false">
      <c r="A63" s="15" t="s">
        <v>2324</v>
      </c>
      <c r="B63" s="15" t="s">
        <v>2341</v>
      </c>
      <c r="C63" s="15" t="s">
        <v>2342</v>
      </c>
      <c r="D63" s="15" t="s">
        <v>2343</v>
      </c>
      <c r="E63" s="15" t="s">
        <v>2152</v>
      </c>
      <c r="F63" s="15" t="s">
        <v>1460</v>
      </c>
      <c r="G63" s="15" t="s">
        <v>2328</v>
      </c>
    </row>
    <row r="64" customFormat="false" ht="35.05" hidden="false" customHeight="false" outlineLevel="0" collapsed="false">
      <c r="A64" s="15" t="s">
        <v>2324</v>
      </c>
      <c r="B64" s="15" t="s">
        <v>2344</v>
      </c>
      <c r="C64" s="15" t="s">
        <v>2345</v>
      </c>
      <c r="D64" s="15" t="s">
        <v>2346</v>
      </c>
      <c r="E64" s="15" t="s">
        <v>2152</v>
      </c>
      <c r="F64" s="15" t="s">
        <v>1460</v>
      </c>
      <c r="G64" s="15" t="s">
        <v>2328</v>
      </c>
    </row>
    <row r="65" customFormat="false" ht="35.05" hidden="false" customHeight="false" outlineLevel="0" collapsed="false">
      <c r="A65" s="15" t="s">
        <v>2324</v>
      </c>
      <c r="B65" s="15" t="s">
        <v>2347</v>
      </c>
      <c r="C65" s="15" t="s">
        <v>2348</v>
      </c>
      <c r="D65" s="15" t="s">
        <v>2349</v>
      </c>
      <c r="E65" s="15" t="s">
        <v>2152</v>
      </c>
      <c r="F65" s="15" t="s">
        <v>1460</v>
      </c>
      <c r="G65" s="15" t="s">
        <v>2328</v>
      </c>
    </row>
    <row r="66" customFormat="false" ht="35.05" hidden="false" customHeight="false" outlineLevel="0" collapsed="false">
      <c r="A66" s="15" t="s">
        <v>2324</v>
      </c>
      <c r="B66" s="15" t="s">
        <v>2350</v>
      </c>
      <c r="C66" s="15" t="s">
        <v>2351</v>
      </c>
      <c r="D66" s="15" t="s">
        <v>2352</v>
      </c>
      <c r="E66" s="15" t="s">
        <v>2152</v>
      </c>
      <c r="F66" s="15" t="s">
        <v>1460</v>
      </c>
      <c r="G66" s="15" t="s">
        <v>2328</v>
      </c>
    </row>
    <row r="67" customFormat="false" ht="35.05" hidden="false" customHeight="false" outlineLevel="0" collapsed="false">
      <c r="A67" s="15" t="s">
        <v>2324</v>
      </c>
      <c r="B67" s="15" t="s">
        <v>2353</v>
      </c>
      <c r="C67" s="15" t="s">
        <v>2354</v>
      </c>
      <c r="D67" s="15" t="s">
        <v>2355</v>
      </c>
      <c r="E67" s="15" t="s">
        <v>2152</v>
      </c>
      <c r="F67" s="15" t="s">
        <v>1460</v>
      </c>
      <c r="G67" s="15" t="s">
        <v>2328</v>
      </c>
    </row>
    <row r="68" customFormat="false" ht="35.05" hidden="false" customHeight="false" outlineLevel="0" collapsed="false">
      <c r="A68" s="15" t="s">
        <v>2324</v>
      </c>
      <c r="B68" s="15" t="s">
        <v>2356</v>
      </c>
      <c r="C68" s="15" t="s">
        <v>2357</v>
      </c>
      <c r="D68" s="15" t="s">
        <v>2358</v>
      </c>
      <c r="E68" s="15" t="s">
        <v>2152</v>
      </c>
      <c r="F68" s="15" t="s">
        <v>1460</v>
      </c>
      <c r="G68" s="15" t="s">
        <v>2328</v>
      </c>
    </row>
    <row r="69" customFormat="false" ht="35.05" hidden="false" customHeight="false" outlineLevel="0" collapsed="false">
      <c r="A69" s="15" t="s">
        <v>2324</v>
      </c>
      <c r="B69" s="15" t="s">
        <v>2359</v>
      </c>
      <c r="C69" s="15" t="s">
        <v>2360</v>
      </c>
      <c r="D69" s="15" t="s">
        <v>2361</v>
      </c>
      <c r="E69" s="15" t="s">
        <v>2152</v>
      </c>
      <c r="F69" s="15" t="s">
        <v>1460</v>
      </c>
      <c r="G69" s="15" t="s">
        <v>2328</v>
      </c>
    </row>
    <row r="70" customFormat="false" ht="23.85" hidden="false" customHeight="false" outlineLevel="0" collapsed="false">
      <c r="A70" s="15" t="s">
        <v>2362</v>
      </c>
      <c r="B70" s="15" t="s">
        <v>81</v>
      </c>
      <c r="C70" s="15" t="s">
        <v>2363</v>
      </c>
      <c r="D70" s="15" t="s">
        <v>2364</v>
      </c>
      <c r="E70" s="15" t="s">
        <v>2215</v>
      </c>
      <c r="F70" s="15" t="s">
        <v>2153</v>
      </c>
      <c r="G70" s="15" t="s">
        <v>2365</v>
      </c>
    </row>
    <row r="71" customFormat="false" ht="23.85" hidden="false" customHeight="false" outlineLevel="0" collapsed="false">
      <c r="A71" s="15" t="s">
        <v>2362</v>
      </c>
      <c r="B71" s="15" t="s">
        <v>2366</v>
      </c>
      <c r="C71" s="15" t="s">
        <v>2367</v>
      </c>
      <c r="D71" s="15" t="s">
        <v>2368</v>
      </c>
      <c r="E71" s="15" t="s">
        <v>2215</v>
      </c>
      <c r="F71" s="15" t="s">
        <v>2153</v>
      </c>
      <c r="G71" s="15" t="s">
        <v>2365</v>
      </c>
    </row>
    <row r="72" customFormat="false" ht="23.85" hidden="false" customHeight="false" outlineLevel="0" collapsed="false">
      <c r="A72" s="15" t="s">
        <v>2362</v>
      </c>
      <c r="B72" s="15" t="s">
        <v>2369</v>
      </c>
      <c r="C72" s="15" t="s">
        <v>2370</v>
      </c>
      <c r="D72" s="15" t="s">
        <v>2371</v>
      </c>
      <c r="E72" s="15" t="s">
        <v>2215</v>
      </c>
      <c r="F72" s="15" t="s">
        <v>2153</v>
      </c>
      <c r="G72" s="15" t="s">
        <v>2365</v>
      </c>
    </row>
    <row r="73" customFormat="false" ht="23.85" hidden="false" customHeight="false" outlineLevel="0" collapsed="false">
      <c r="A73" s="15" t="s">
        <v>2362</v>
      </c>
      <c r="B73" s="15" t="s">
        <v>2372</v>
      </c>
      <c r="C73" s="15" t="s">
        <v>2373</v>
      </c>
      <c r="D73" s="15" t="s">
        <v>2374</v>
      </c>
      <c r="E73" s="15" t="s">
        <v>2215</v>
      </c>
      <c r="F73" s="15" t="s">
        <v>2153</v>
      </c>
      <c r="G73" s="15" t="s">
        <v>2365</v>
      </c>
    </row>
    <row r="74" customFormat="false" ht="23.85" hidden="false" customHeight="false" outlineLevel="0" collapsed="false">
      <c r="A74" s="15" t="s">
        <v>2362</v>
      </c>
      <c r="B74" s="15" t="s">
        <v>2375</v>
      </c>
      <c r="C74" s="15" t="s">
        <v>2376</v>
      </c>
      <c r="D74" s="15" t="s">
        <v>2377</v>
      </c>
      <c r="E74" s="15" t="s">
        <v>2215</v>
      </c>
      <c r="F74" s="15" t="s">
        <v>2153</v>
      </c>
      <c r="G74" s="15" t="s">
        <v>2365</v>
      </c>
    </row>
    <row r="75" customFormat="false" ht="23.85" hidden="false" customHeight="false" outlineLevel="0" collapsed="false">
      <c r="A75" s="15" t="s">
        <v>2362</v>
      </c>
      <c r="B75" s="15" t="s">
        <v>2378</v>
      </c>
      <c r="C75" s="15" t="s">
        <v>2379</v>
      </c>
      <c r="D75" s="15" t="s">
        <v>2380</v>
      </c>
      <c r="E75" s="15" t="s">
        <v>2215</v>
      </c>
      <c r="F75" s="15" t="s">
        <v>2153</v>
      </c>
      <c r="G75" s="15" t="s">
        <v>2365</v>
      </c>
    </row>
    <row r="76" customFormat="false" ht="23.85" hidden="false" customHeight="false" outlineLevel="0" collapsed="false">
      <c r="A76" s="15" t="s">
        <v>2362</v>
      </c>
      <c r="B76" s="15" t="s">
        <v>2381</v>
      </c>
      <c r="C76" s="15" t="s">
        <v>2382</v>
      </c>
      <c r="D76" s="15" t="s">
        <v>2383</v>
      </c>
      <c r="E76" s="15" t="s">
        <v>2215</v>
      </c>
      <c r="F76" s="15" t="s">
        <v>2153</v>
      </c>
      <c r="G76" s="15" t="s">
        <v>2365</v>
      </c>
    </row>
    <row r="77" customFormat="false" ht="23.85" hidden="false" customHeight="false" outlineLevel="0" collapsed="false">
      <c r="A77" s="15" t="s">
        <v>2362</v>
      </c>
      <c r="B77" s="15" t="s">
        <v>2384</v>
      </c>
      <c r="C77" s="15" t="s">
        <v>2385</v>
      </c>
      <c r="D77" s="15" t="s">
        <v>2386</v>
      </c>
      <c r="E77" s="15" t="s">
        <v>2215</v>
      </c>
      <c r="F77" s="15" t="s">
        <v>2153</v>
      </c>
      <c r="G77" s="15" t="s">
        <v>2365</v>
      </c>
    </row>
    <row r="78" customFormat="false" ht="23.85" hidden="false" customHeight="false" outlineLevel="0" collapsed="false">
      <c r="A78" s="15" t="s">
        <v>2362</v>
      </c>
      <c r="B78" s="15" t="s">
        <v>2387</v>
      </c>
      <c r="C78" s="15" t="s">
        <v>2388</v>
      </c>
      <c r="D78" s="15" t="s">
        <v>2389</v>
      </c>
      <c r="E78" s="15" t="s">
        <v>2215</v>
      </c>
      <c r="F78" s="15" t="s">
        <v>2153</v>
      </c>
      <c r="G78" s="15" t="s">
        <v>2365</v>
      </c>
    </row>
    <row r="79" customFormat="false" ht="23.85" hidden="false" customHeight="false" outlineLevel="0" collapsed="false">
      <c r="A79" s="15" t="s">
        <v>2362</v>
      </c>
      <c r="B79" s="15" t="s">
        <v>2390</v>
      </c>
      <c r="C79" s="15" t="s">
        <v>2391</v>
      </c>
      <c r="D79" s="15" t="s">
        <v>2392</v>
      </c>
      <c r="E79" s="15" t="s">
        <v>2215</v>
      </c>
      <c r="F79" s="15" t="s">
        <v>2153</v>
      </c>
      <c r="G79" s="15" t="s">
        <v>2365</v>
      </c>
    </row>
    <row r="80" customFormat="false" ht="23.85" hidden="false" customHeight="false" outlineLevel="0" collapsed="false">
      <c r="A80" s="15" t="s">
        <v>2393</v>
      </c>
      <c r="B80" s="15" t="s">
        <v>2394</v>
      </c>
      <c r="C80" s="15" t="s">
        <v>2395</v>
      </c>
      <c r="D80" s="15" t="s">
        <v>2396</v>
      </c>
      <c r="E80" s="15" t="s">
        <v>2215</v>
      </c>
      <c r="F80" s="15" t="s">
        <v>2153</v>
      </c>
      <c r="G80" s="15" t="s">
        <v>2397</v>
      </c>
    </row>
    <row r="81" customFormat="false" ht="23.85" hidden="false" customHeight="false" outlineLevel="0" collapsed="false">
      <c r="A81" s="15" t="s">
        <v>2393</v>
      </c>
      <c r="B81" s="15" t="s">
        <v>2398</v>
      </c>
      <c r="C81" s="15" t="s">
        <v>2399</v>
      </c>
      <c r="D81" s="15" t="s">
        <v>2400</v>
      </c>
      <c r="E81" s="15" t="s">
        <v>2215</v>
      </c>
      <c r="F81" s="15" t="s">
        <v>2153</v>
      </c>
      <c r="G81" s="15" t="s">
        <v>2397</v>
      </c>
    </row>
    <row r="82" customFormat="false" ht="23.85" hidden="false" customHeight="false" outlineLevel="0" collapsed="false">
      <c r="A82" s="15" t="s">
        <v>2393</v>
      </c>
      <c r="B82" s="15" t="s">
        <v>2401</v>
      </c>
      <c r="C82" s="15" t="s">
        <v>2402</v>
      </c>
      <c r="D82" s="15" t="s">
        <v>2403</v>
      </c>
      <c r="E82" s="15" t="s">
        <v>2215</v>
      </c>
      <c r="F82" s="15" t="s">
        <v>2153</v>
      </c>
      <c r="G82" s="15" t="s">
        <v>2397</v>
      </c>
    </row>
    <row r="83" customFormat="false" ht="23.85" hidden="false" customHeight="false" outlineLevel="0" collapsed="false">
      <c r="A83" s="15" t="s">
        <v>2393</v>
      </c>
      <c r="B83" s="15" t="s">
        <v>2404</v>
      </c>
      <c r="C83" s="15" t="s">
        <v>2405</v>
      </c>
      <c r="D83" s="15" t="s">
        <v>2406</v>
      </c>
      <c r="E83" s="15" t="s">
        <v>2215</v>
      </c>
      <c r="F83" s="15" t="s">
        <v>2153</v>
      </c>
      <c r="G83" s="15" t="s">
        <v>2397</v>
      </c>
    </row>
    <row r="84" customFormat="false" ht="23.85" hidden="false" customHeight="false" outlineLevel="0" collapsed="false">
      <c r="A84" s="15" t="s">
        <v>2393</v>
      </c>
      <c r="B84" s="15" t="s">
        <v>2407</v>
      </c>
      <c r="C84" s="15" t="s">
        <v>2408</v>
      </c>
      <c r="D84" s="15" t="s">
        <v>2409</v>
      </c>
      <c r="E84" s="15" t="s">
        <v>2215</v>
      </c>
      <c r="F84" s="15" t="s">
        <v>2153</v>
      </c>
      <c r="G84" s="15" t="s">
        <v>2397</v>
      </c>
    </row>
    <row r="85" customFormat="false" ht="23.85" hidden="false" customHeight="false" outlineLevel="0" collapsed="false">
      <c r="A85" s="15" t="s">
        <v>2393</v>
      </c>
      <c r="B85" s="15" t="s">
        <v>2410</v>
      </c>
      <c r="C85" s="15" t="s">
        <v>2411</v>
      </c>
      <c r="D85" s="15" t="s">
        <v>2412</v>
      </c>
      <c r="E85" s="15" t="s">
        <v>2215</v>
      </c>
      <c r="F85" s="15" t="s">
        <v>2153</v>
      </c>
      <c r="G85" s="15" t="s">
        <v>2397</v>
      </c>
    </row>
    <row r="86" customFormat="false" ht="23.85" hidden="false" customHeight="false" outlineLevel="0" collapsed="false">
      <c r="A86" s="15" t="s">
        <v>2393</v>
      </c>
      <c r="B86" s="15" t="s">
        <v>2413</v>
      </c>
      <c r="C86" s="15" t="s">
        <v>2414</v>
      </c>
      <c r="D86" s="15" t="s">
        <v>2415</v>
      </c>
      <c r="E86" s="15" t="s">
        <v>2215</v>
      </c>
      <c r="F86" s="15" t="s">
        <v>2153</v>
      </c>
      <c r="G86" s="15" t="s">
        <v>2397</v>
      </c>
    </row>
    <row r="87" customFormat="false" ht="23.85" hidden="false" customHeight="false" outlineLevel="0" collapsed="false">
      <c r="A87" s="15" t="s">
        <v>2393</v>
      </c>
      <c r="B87" s="15" t="s">
        <v>2416</v>
      </c>
      <c r="C87" s="15" t="s">
        <v>2417</v>
      </c>
      <c r="D87" s="15" t="s">
        <v>2418</v>
      </c>
      <c r="E87" s="15" t="s">
        <v>2215</v>
      </c>
      <c r="F87" s="15" t="s">
        <v>2153</v>
      </c>
      <c r="G87" s="15" t="s">
        <v>2397</v>
      </c>
    </row>
    <row r="88" customFormat="false" ht="23.85" hidden="false" customHeight="false" outlineLevel="0" collapsed="false">
      <c r="A88" s="15" t="s">
        <v>2393</v>
      </c>
      <c r="B88" s="15" t="s">
        <v>2419</v>
      </c>
      <c r="C88" s="15" t="s">
        <v>2420</v>
      </c>
      <c r="D88" s="15" t="s">
        <v>2421</v>
      </c>
      <c r="E88" s="15" t="s">
        <v>2215</v>
      </c>
      <c r="F88" s="15" t="s">
        <v>2153</v>
      </c>
      <c r="G88" s="15" t="s">
        <v>2397</v>
      </c>
    </row>
    <row r="89" customFormat="false" ht="23.85" hidden="false" customHeight="false" outlineLevel="0" collapsed="false">
      <c r="A89" s="15" t="s">
        <v>2393</v>
      </c>
      <c r="B89" s="15" t="s">
        <v>2422</v>
      </c>
      <c r="C89" s="15" t="s">
        <v>2423</v>
      </c>
      <c r="D89" s="15" t="s">
        <v>2424</v>
      </c>
      <c r="E89" s="15" t="s">
        <v>2215</v>
      </c>
      <c r="F89" s="15" t="s">
        <v>2153</v>
      </c>
      <c r="G89" s="15" t="s">
        <v>2397</v>
      </c>
    </row>
    <row r="90" customFormat="false" ht="23.85" hidden="false" customHeight="false" outlineLevel="0" collapsed="false">
      <c r="A90" s="15" t="s">
        <v>2425</v>
      </c>
      <c r="B90" s="15" t="s">
        <v>2426</v>
      </c>
      <c r="C90" s="15" t="s">
        <v>2427</v>
      </c>
      <c r="D90" s="15" t="s">
        <v>2428</v>
      </c>
      <c r="E90" s="15" t="s">
        <v>2152</v>
      </c>
      <c r="F90" s="15" t="s">
        <v>2153</v>
      </c>
      <c r="G90" s="15" t="s">
        <v>2429</v>
      </c>
    </row>
    <row r="91" customFormat="false" ht="23.85" hidden="false" customHeight="false" outlineLevel="0" collapsed="false">
      <c r="A91" s="15" t="s">
        <v>2425</v>
      </c>
      <c r="B91" s="15" t="s">
        <v>2430</v>
      </c>
      <c r="C91" s="15" t="s">
        <v>2431</v>
      </c>
      <c r="D91" s="15" t="s">
        <v>2432</v>
      </c>
      <c r="E91" s="15" t="s">
        <v>2171</v>
      </c>
      <c r="F91" s="15" t="s">
        <v>2153</v>
      </c>
      <c r="G91" s="15" t="s">
        <v>2429</v>
      </c>
    </row>
    <row r="92" customFormat="false" ht="46.25" hidden="false" customHeight="false" outlineLevel="0" collapsed="false">
      <c r="A92" s="15" t="s">
        <v>2425</v>
      </c>
      <c r="B92" s="15" t="s">
        <v>2433</v>
      </c>
      <c r="C92" s="15" t="s">
        <v>2434</v>
      </c>
      <c r="D92" s="15" t="s">
        <v>2435</v>
      </c>
      <c r="E92" s="15" t="s">
        <v>2152</v>
      </c>
      <c r="F92" s="15" t="s">
        <v>2153</v>
      </c>
      <c r="G92" s="15" t="s">
        <v>2429</v>
      </c>
    </row>
    <row r="93" customFormat="false" ht="23.85" hidden="false" customHeight="false" outlineLevel="0" collapsed="false">
      <c r="A93" s="15" t="s">
        <v>2425</v>
      </c>
      <c r="B93" s="15" t="s">
        <v>2436</v>
      </c>
      <c r="C93" s="15" t="s">
        <v>2437</v>
      </c>
      <c r="D93" s="15" t="s">
        <v>2438</v>
      </c>
      <c r="E93" s="15" t="s">
        <v>2215</v>
      </c>
      <c r="F93" s="15" t="s">
        <v>2153</v>
      </c>
      <c r="G93" s="15" t="s">
        <v>2429</v>
      </c>
    </row>
    <row r="94" customFormat="false" ht="23.85" hidden="false" customHeight="false" outlineLevel="0" collapsed="false">
      <c r="A94" s="15" t="s">
        <v>2425</v>
      </c>
      <c r="B94" s="15" t="s">
        <v>2439</v>
      </c>
      <c r="C94" s="15" t="s">
        <v>2440</v>
      </c>
      <c r="D94" s="15" t="s">
        <v>2441</v>
      </c>
      <c r="E94" s="15" t="s">
        <v>2158</v>
      </c>
      <c r="F94" s="15" t="s">
        <v>2153</v>
      </c>
      <c r="G94" s="15" t="s">
        <v>2429</v>
      </c>
    </row>
    <row r="95" customFormat="false" ht="23.85" hidden="false" customHeight="false" outlineLevel="0" collapsed="false">
      <c r="A95" s="15" t="s">
        <v>2442</v>
      </c>
      <c r="B95" s="15" t="s">
        <v>2443</v>
      </c>
      <c r="C95" s="15" t="s">
        <v>2444</v>
      </c>
      <c r="D95" s="15" t="s">
        <v>2445</v>
      </c>
      <c r="E95" s="15" t="s">
        <v>2257</v>
      </c>
      <c r="F95" s="15" t="s">
        <v>2446</v>
      </c>
      <c r="G95" s="15" t="s">
        <v>2447</v>
      </c>
    </row>
    <row r="96" customFormat="false" ht="23.85" hidden="false" customHeight="false" outlineLevel="0" collapsed="false">
      <c r="A96" s="15" t="s">
        <v>2442</v>
      </c>
      <c r="B96" s="15" t="s">
        <v>2448</v>
      </c>
      <c r="C96" s="15" t="s">
        <v>2449</v>
      </c>
      <c r="D96" s="15" t="s">
        <v>2445</v>
      </c>
      <c r="E96" s="15" t="s">
        <v>2257</v>
      </c>
      <c r="F96" s="15" t="s">
        <v>2446</v>
      </c>
      <c r="G96" s="15" t="s">
        <v>2447</v>
      </c>
    </row>
    <row r="97" customFormat="false" ht="23.85" hidden="false" customHeight="false" outlineLevel="0" collapsed="false">
      <c r="A97" s="15" t="s">
        <v>2442</v>
      </c>
      <c r="B97" s="15" t="s">
        <v>2450</v>
      </c>
      <c r="C97" s="15" t="s">
        <v>2451</v>
      </c>
      <c r="D97" s="15" t="s">
        <v>2445</v>
      </c>
      <c r="E97" s="15" t="s">
        <v>2257</v>
      </c>
      <c r="F97" s="15" t="s">
        <v>2446</v>
      </c>
      <c r="G97" s="15" t="s">
        <v>2447</v>
      </c>
    </row>
    <row r="98" customFormat="false" ht="23.85" hidden="false" customHeight="false" outlineLevel="0" collapsed="false">
      <c r="A98" s="15" t="s">
        <v>2442</v>
      </c>
      <c r="B98" s="15" t="s">
        <v>1444</v>
      </c>
      <c r="C98" s="15" t="s">
        <v>2452</v>
      </c>
      <c r="D98" s="15" t="s">
        <v>2445</v>
      </c>
      <c r="E98" s="15" t="s">
        <v>2257</v>
      </c>
      <c r="F98" s="15" t="s">
        <v>2446</v>
      </c>
      <c r="G98" s="15" t="s">
        <v>2447</v>
      </c>
    </row>
    <row r="99" customFormat="false" ht="23.85" hidden="false" customHeight="false" outlineLevel="0" collapsed="false">
      <c r="A99" s="15" t="s">
        <v>2442</v>
      </c>
      <c r="B99" s="15" t="s">
        <v>2453</v>
      </c>
      <c r="C99" s="15" t="s">
        <v>2454</v>
      </c>
      <c r="D99" s="15" t="s">
        <v>2445</v>
      </c>
      <c r="E99" s="15" t="s">
        <v>2257</v>
      </c>
      <c r="F99" s="15" t="s">
        <v>2446</v>
      </c>
      <c r="G99" s="15" t="s">
        <v>2447</v>
      </c>
    </row>
    <row r="100" customFormat="false" ht="23.85" hidden="false" customHeight="false" outlineLevel="0" collapsed="false">
      <c r="A100" s="15" t="s">
        <v>2442</v>
      </c>
      <c r="B100" s="15" t="s">
        <v>2455</v>
      </c>
      <c r="C100" s="15" t="s">
        <v>2456</v>
      </c>
      <c r="D100" s="15" t="s">
        <v>2445</v>
      </c>
      <c r="E100" s="15" t="s">
        <v>2257</v>
      </c>
      <c r="F100" s="15" t="s">
        <v>2446</v>
      </c>
      <c r="G100" s="15" t="s">
        <v>2447</v>
      </c>
    </row>
    <row r="101" customFormat="false" ht="23.85" hidden="false" customHeight="false" outlineLevel="0" collapsed="false">
      <c r="A101" s="15" t="s">
        <v>2442</v>
      </c>
      <c r="B101" s="15" t="s">
        <v>2457</v>
      </c>
      <c r="C101" s="15" t="s">
        <v>2458</v>
      </c>
      <c r="D101" s="15" t="s">
        <v>2445</v>
      </c>
      <c r="E101" s="15" t="s">
        <v>2257</v>
      </c>
      <c r="F101" s="15" t="s">
        <v>2446</v>
      </c>
      <c r="G101" s="15" t="s">
        <v>2447</v>
      </c>
    </row>
    <row r="102" customFormat="false" ht="23.85" hidden="false" customHeight="false" outlineLevel="0" collapsed="false">
      <c r="A102" s="15" t="s">
        <v>2442</v>
      </c>
      <c r="B102" s="15" t="s">
        <v>2459</v>
      </c>
      <c r="C102" s="15" t="s">
        <v>2460</v>
      </c>
      <c r="D102" s="15" t="s">
        <v>2445</v>
      </c>
      <c r="E102" s="15" t="s">
        <v>2257</v>
      </c>
      <c r="F102" s="15" t="s">
        <v>2446</v>
      </c>
      <c r="G102" s="15" t="s">
        <v>2447</v>
      </c>
    </row>
    <row r="103" customFormat="false" ht="23.85" hidden="false" customHeight="false" outlineLevel="0" collapsed="false">
      <c r="A103" s="15" t="s">
        <v>2442</v>
      </c>
      <c r="B103" s="15" t="s">
        <v>2461</v>
      </c>
      <c r="C103" s="15" t="s">
        <v>2462</v>
      </c>
      <c r="D103" s="15" t="s">
        <v>2445</v>
      </c>
      <c r="E103" s="15" t="s">
        <v>2257</v>
      </c>
      <c r="F103" s="15" t="s">
        <v>2446</v>
      </c>
      <c r="G103" s="15" t="s">
        <v>2447</v>
      </c>
    </row>
    <row r="104" customFormat="false" ht="23.85" hidden="false" customHeight="false" outlineLevel="0" collapsed="false">
      <c r="A104" s="15" t="s">
        <v>2442</v>
      </c>
      <c r="B104" s="15" t="s">
        <v>1450</v>
      </c>
      <c r="C104" s="15" t="s">
        <v>2463</v>
      </c>
      <c r="D104" s="15" t="s">
        <v>2445</v>
      </c>
      <c r="E104" s="15" t="s">
        <v>2257</v>
      </c>
      <c r="F104" s="15" t="s">
        <v>2446</v>
      </c>
      <c r="G104" s="15" t="s">
        <v>2447</v>
      </c>
    </row>
    <row r="105" customFormat="false" ht="23.85" hidden="false" customHeight="false" outlineLevel="0" collapsed="false">
      <c r="A105" s="15" t="s">
        <v>2442</v>
      </c>
      <c r="B105" s="15" t="s">
        <v>2464</v>
      </c>
      <c r="C105" s="15" t="s">
        <v>2465</v>
      </c>
      <c r="D105" s="15" t="s">
        <v>2445</v>
      </c>
      <c r="E105" s="15" t="s">
        <v>2257</v>
      </c>
      <c r="F105" s="15" t="s">
        <v>2446</v>
      </c>
      <c r="G105" s="15" t="s">
        <v>2447</v>
      </c>
    </row>
    <row r="106" customFormat="false" ht="23.85" hidden="false" customHeight="false" outlineLevel="0" collapsed="false">
      <c r="A106" s="15" t="s">
        <v>2442</v>
      </c>
      <c r="B106" s="15" t="s">
        <v>1454</v>
      </c>
      <c r="C106" s="15" t="s">
        <v>2466</v>
      </c>
      <c r="D106" s="15" t="s">
        <v>2445</v>
      </c>
      <c r="E106" s="15" t="s">
        <v>2257</v>
      </c>
      <c r="F106" s="15" t="s">
        <v>2446</v>
      </c>
      <c r="G106" s="15" t="s">
        <v>2447</v>
      </c>
    </row>
    <row r="107" customFormat="false" ht="23.85" hidden="false" customHeight="false" outlineLevel="0" collapsed="false">
      <c r="A107" s="15" t="s">
        <v>2442</v>
      </c>
      <c r="B107" s="15" t="s">
        <v>1458</v>
      </c>
      <c r="C107" s="15" t="s">
        <v>2467</v>
      </c>
      <c r="D107" s="15" t="s">
        <v>2445</v>
      </c>
      <c r="E107" s="15" t="s">
        <v>2257</v>
      </c>
      <c r="F107" s="15" t="s">
        <v>2446</v>
      </c>
      <c r="G107" s="15" t="s">
        <v>2447</v>
      </c>
    </row>
    <row r="108" customFormat="false" ht="23.85" hidden="false" customHeight="false" outlineLevel="0" collapsed="false">
      <c r="A108" s="15" t="s">
        <v>2442</v>
      </c>
      <c r="B108" s="15" t="s">
        <v>2468</v>
      </c>
      <c r="C108" s="15" t="s">
        <v>2469</v>
      </c>
      <c r="D108" s="15" t="s">
        <v>2445</v>
      </c>
      <c r="E108" s="15" t="s">
        <v>2257</v>
      </c>
      <c r="F108" s="15" t="s">
        <v>2446</v>
      </c>
      <c r="G108" s="15" t="s">
        <v>2447</v>
      </c>
    </row>
    <row r="109" customFormat="false" ht="23.85" hidden="false" customHeight="false" outlineLevel="0" collapsed="false">
      <c r="A109" s="15" t="s">
        <v>2442</v>
      </c>
      <c r="B109" s="15" t="s">
        <v>2470</v>
      </c>
      <c r="C109" s="15" t="s">
        <v>2471</v>
      </c>
      <c r="D109" s="15" t="s">
        <v>2445</v>
      </c>
      <c r="E109" s="15" t="s">
        <v>2257</v>
      </c>
      <c r="F109" s="15" t="s">
        <v>2446</v>
      </c>
      <c r="G109" s="15" t="s">
        <v>2447</v>
      </c>
    </row>
    <row r="110" customFormat="false" ht="23.85" hidden="false" customHeight="false" outlineLevel="0" collapsed="false">
      <c r="A110" s="15" t="s">
        <v>2442</v>
      </c>
      <c r="B110" s="15" t="s">
        <v>2472</v>
      </c>
      <c r="C110" s="15" t="s">
        <v>2473</v>
      </c>
      <c r="D110" s="15" t="s">
        <v>2445</v>
      </c>
      <c r="E110" s="15" t="s">
        <v>2257</v>
      </c>
      <c r="F110" s="15" t="s">
        <v>2446</v>
      </c>
      <c r="G110" s="15" t="s">
        <v>2447</v>
      </c>
    </row>
    <row r="111" customFormat="false" ht="23.85" hidden="false" customHeight="false" outlineLevel="0" collapsed="false">
      <c r="A111" s="15" t="s">
        <v>2442</v>
      </c>
      <c r="B111" s="15" t="s">
        <v>1448</v>
      </c>
      <c r="C111" s="15" t="s">
        <v>2474</v>
      </c>
      <c r="D111" s="15" t="s">
        <v>2445</v>
      </c>
      <c r="E111" s="15" t="s">
        <v>2257</v>
      </c>
      <c r="F111" s="15" t="s">
        <v>2446</v>
      </c>
      <c r="G111" s="15" t="s">
        <v>2447</v>
      </c>
    </row>
    <row r="112" customFormat="false" ht="23.85" hidden="false" customHeight="false" outlineLevel="0" collapsed="false">
      <c r="A112" s="15" t="s">
        <v>2442</v>
      </c>
      <c r="B112" s="15" t="s">
        <v>2475</v>
      </c>
      <c r="C112" s="15" t="s">
        <v>2476</v>
      </c>
      <c r="D112" s="15" t="s">
        <v>2445</v>
      </c>
      <c r="E112" s="15" t="s">
        <v>2257</v>
      </c>
      <c r="F112" s="15" t="s">
        <v>2446</v>
      </c>
      <c r="G112" s="15" t="s">
        <v>2447</v>
      </c>
    </row>
    <row r="113" customFormat="false" ht="35.05" hidden="false" customHeight="false" outlineLevel="0" collapsed="false">
      <c r="A113" s="15" t="s">
        <v>2477</v>
      </c>
      <c r="B113" s="15" t="s">
        <v>2478</v>
      </c>
      <c r="C113" s="15" t="s">
        <v>2479</v>
      </c>
      <c r="D113" s="15" t="s">
        <v>2480</v>
      </c>
      <c r="E113" s="15" t="s">
        <v>2257</v>
      </c>
      <c r="F113" s="15" t="s">
        <v>2481</v>
      </c>
      <c r="G113" s="15" t="s">
        <v>2482</v>
      </c>
    </row>
    <row r="114" customFormat="false" ht="35.05" hidden="false" customHeight="false" outlineLevel="0" collapsed="false">
      <c r="A114" s="15" t="s">
        <v>2477</v>
      </c>
      <c r="B114" s="15" t="s">
        <v>2483</v>
      </c>
      <c r="C114" s="15" t="s">
        <v>2484</v>
      </c>
      <c r="D114" s="15" t="s">
        <v>2485</v>
      </c>
      <c r="E114" s="15" t="s">
        <v>2257</v>
      </c>
      <c r="F114" s="15" t="s">
        <v>2481</v>
      </c>
      <c r="G114" s="15" t="s">
        <v>2482</v>
      </c>
    </row>
    <row r="115" customFormat="false" ht="35.05" hidden="false" customHeight="false" outlineLevel="0" collapsed="false">
      <c r="A115" s="15" t="s">
        <v>2477</v>
      </c>
      <c r="B115" s="15" t="s">
        <v>2486</v>
      </c>
      <c r="C115" s="15" t="s">
        <v>2487</v>
      </c>
      <c r="D115" s="15" t="s">
        <v>2488</v>
      </c>
      <c r="E115" s="15" t="s">
        <v>2257</v>
      </c>
      <c r="F115" s="15" t="s">
        <v>2481</v>
      </c>
      <c r="G115" s="15" t="s">
        <v>2482</v>
      </c>
    </row>
    <row r="116" customFormat="false" ht="35.05" hidden="false" customHeight="false" outlineLevel="0" collapsed="false">
      <c r="A116" s="15" t="s">
        <v>2477</v>
      </c>
      <c r="B116" s="15" t="s">
        <v>2489</v>
      </c>
      <c r="C116" s="15" t="s">
        <v>2490</v>
      </c>
      <c r="D116" s="15" t="s">
        <v>2491</v>
      </c>
      <c r="E116" s="15" t="s">
        <v>2257</v>
      </c>
      <c r="F116" s="15" t="s">
        <v>2481</v>
      </c>
      <c r="G116" s="15" t="s">
        <v>2482</v>
      </c>
    </row>
    <row r="117" customFormat="false" ht="35.05" hidden="false" customHeight="false" outlineLevel="0" collapsed="false">
      <c r="A117" s="15" t="s">
        <v>2477</v>
      </c>
      <c r="B117" s="15" t="s">
        <v>2492</v>
      </c>
      <c r="C117" s="15" t="s">
        <v>2493</v>
      </c>
      <c r="D117" s="15" t="s">
        <v>2494</v>
      </c>
      <c r="E117" s="15" t="s">
        <v>2257</v>
      </c>
      <c r="F117" s="15" t="s">
        <v>2481</v>
      </c>
      <c r="G117" s="15" t="s">
        <v>2482</v>
      </c>
    </row>
    <row r="118" customFormat="false" ht="35.05" hidden="false" customHeight="false" outlineLevel="0" collapsed="false">
      <c r="A118" s="15" t="s">
        <v>2477</v>
      </c>
      <c r="B118" s="15" t="s">
        <v>2495</v>
      </c>
      <c r="C118" s="15" t="s">
        <v>2496</v>
      </c>
      <c r="D118" s="15" t="s">
        <v>2497</v>
      </c>
      <c r="E118" s="15" t="s">
        <v>2257</v>
      </c>
      <c r="F118" s="15" t="s">
        <v>2481</v>
      </c>
      <c r="G118" s="15" t="s">
        <v>2482</v>
      </c>
    </row>
    <row r="119" customFormat="false" ht="35.05" hidden="false" customHeight="false" outlineLevel="0" collapsed="false">
      <c r="A119" s="15" t="s">
        <v>2477</v>
      </c>
      <c r="B119" s="15" t="s">
        <v>2498</v>
      </c>
      <c r="C119" s="15" t="s">
        <v>2499</v>
      </c>
      <c r="D119" s="15" t="s">
        <v>2500</v>
      </c>
      <c r="E119" s="15" t="s">
        <v>2257</v>
      </c>
      <c r="F119" s="15" t="s">
        <v>2481</v>
      </c>
      <c r="G119" s="15" t="s">
        <v>2482</v>
      </c>
    </row>
    <row r="120" customFormat="false" ht="35.05" hidden="false" customHeight="false" outlineLevel="0" collapsed="false">
      <c r="A120" s="15" t="s">
        <v>2477</v>
      </c>
      <c r="B120" s="15" t="s">
        <v>2501</v>
      </c>
      <c r="C120" s="15" t="s">
        <v>2502</v>
      </c>
      <c r="D120" s="15" t="s">
        <v>2503</v>
      </c>
      <c r="E120" s="15" t="s">
        <v>2257</v>
      </c>
      <c r="F120" s="15" t="s">
        <v>2481</v>
      </c>
      <c r="G120" s="15" t="s">
        <v>2482</v>
      </c>
    </row>
    <row r="121" customFormat="false" ht="35.05" hidden="false" customHeight="false" outlineLevel="0" collapsed="false">
      <c r="A121" s="15" t="s">
        <v>2477</v>
      </c>
      <c r="B121" s="15" t="s">
        <v>2504</v>
      </c>
      <c r="C121" s="15" t="s">
        <v>2505</v>
      </c>
      <c r="D121" s="15" t="s">
        <v>2506</v>
      </c>
      <c r="E121" s="15" t="s">
        <v>2257</v>
      </c>
      <c r="F121" s="15" t="s">
        <v>2481</v>
      </c>
      <c r="G121" s="15" t="s">
        <v>2482</v>
      </c>
    </row>
    <row r="122" customFormat="false" ht="35.05" hidden="false" customHeight="false" outlineLevel="0" collapsed="false">
      <c r="A122" s="15" t="s">
        <v>2477</v>
      </c>
      <c r="B122" s="15" t="s">
        <v>2507</v>
      </c>
      <c r="C122" s="15" t="s">
        <v>2508</v>
      </c>
      <c r="D122" s="15" t="s">
        <v>2509</v>
      </c>
      <c r="E122" s="15" t="s">
        <v>2257</v>
      </c>
      <c r="F122" s="15" t="s">
        <v>2481</v>
      </c>
      <c r="G122" s="15" t="s">
        <v>2482</v>
      </c>
    </row>
    <row r="123" customFormat="false" ht="35.05" hidden="false" customHeight="false" outlineLevel="0" collapsed="false">
      <c r="A123" s="15" t="s">
        <v>2477</v>
      </c>
      <c r="B123" s="15" t="s">
        <v>2510</v>
      </c>
      <c r="C123" s="15" t="s">
        <v>2511</v>
      </c>
      <c r="D123" s="15" t="s">
        <v>2512</v>
      </c>
      <c r="E123" s="15" t="s">
        <v>2257</v>
      </c>
      <c r="F123" s="15" t="s">
        <v>2481</v>
      </c>
      <c r="G123" s="15" t="s">
        <v>2482</v>
      </c>
    </row>
    <row r="124" customFormat="false" ht="35.05" hidden="false" customHeight="false" outlineLevel="0" collapsed="false">
      <c r="A124" s="15" t="s">
        <v>2477</v>
      </c>
      <c r="B124" s="15" t="s">
        <v>2513</v>
      </c>
      <c r="C124" s="15" t="s">
        <v>2514</v>
      </c>
      <c r="D124" s="15" t="s">
        <v>2515</v>
      </c>
      <c r="E124" s="15" t="s">
        <v>2257</v>
      </c>
      <c r="F124" s="15" t="s">
        <v>2481</v>
      </c>
      <c r="G124" s="15" t="s">
        <v>2482</v>
      </c>
    </row>
    <row r="125" customFormat="false" ht="35.05" hidden="false" customHeight="false" outlineLevel="0" collapsed="false">
      <c r="A125" s="15" t="s">
        <v>2477</v>
      </c>
      <c r="B125" s="15" t="s">
        <v>2516</v>
      </c>
      <c r="C125" s="15" t="s">
        <v>2517</v>
      </c>
      <c r="D125" s="15" t="s">
        <v>2518</v>
      </c>
      <c r="E125" s="15" t="s">
        <v>2257</v>
      </c>
      <c r="F125" s="15" t="s">
        <v>2481</v>
      </c>
      <c r="G125" s="15" t="s">
        <v>2482</v>
      </c>
    </row>
    <row r="126" customFormat="false" ht="35.05" hidden="false" customHeight="false" outlineLevel="0" collapsed="false">
      <c r="A126" s="15" t="s">
        <v>2477</v>
      </c>
      <c r="B126" s="15" t="s">
        <v>2519</v>
      </c>
      <c r="C126" s="15" t="s">
        <v>2520</v>
      </c>
      <c r="D126" s="15" t="s">
        <v>2521</v>
      </c>
      <c r="E126" s="15" t="s">
        <v>2257</v>
      </c>
      <c r="F126" s="15" t="s">
        <v>2481</v>
      </c>
      <c r="G126" s="15" t="s">
        <v>2482</v>
      </c>
    </row>
  </sheetData>
  <autoFilter ref="A1:G126"/>
  <conditionalFormatting sqref="F2:F126">
    <cfRule type="cellIs" priority="2" operator="equal" aboveAverage="0" equalAverage="0" bottom="0" percent="0" rank="0" text="" dxfId="4">
      <formula>"Applied"</formula>
    </cfRule>
    <cfRule type="cellIs" priority="3" operator="equal" aboveAverage="0" equalAverage="0" bottom="0" percent="0" rank="0" text="" dxfId="5">
      <formula>"Partly met"</formula>
    </cfRule>
    <cfRule type="cellIs" priority="4" operator="equal" aboveAverage="0" equalAverage="0" bottom="0" percent="0" rank="0" text="" dxfId="5">
      <formula>"Monitor"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2026-10-12T14:23:59Z</dcterms:created>
  <dc:creator>openpyxl</dc:creator>
  <dc:description/>
  <dc:language>en-US</dc:language>
  <cp:lastModifiedBy/>
  <dcterms:modified xsi:type="dcterms:W3CDTF">2026-10-12T14:24:01Z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